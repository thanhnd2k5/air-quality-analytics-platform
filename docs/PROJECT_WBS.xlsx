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381060cee43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215c222668fa4733"/>
    <x:sheet xmlns:r="http://schemas.openxmlformats.org/officeDocument/2006/relationships" name="Danh mục" sheetId="2" r:id="R87a6b4293c2a422d"/>
    <x:sheet xmlns:r="http://schemas.openxmlformats.org/officeDocument/2006/relationships" name="Kế hoạch" sheetId="3" r:id="R08d9392f437d47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dd/mm/yyyy"/>
  </x:numFmts>
  <x:fonts count="11">
    <x:font>
      <x:sz val="11"/>
      <x:name val="Carlito"/>
    </x:font>
    <x:font>
      <x:b/>
      <x:sz val="15"/>
      <x:color rgb="FF1F2937"/>
      <x:name val="Arial"/>
    </x:font>
    <x:font>
      <x:i/>
      <x:sz val="10"/>
      <x:color rgb="FF6B7280"/>
      <x:name val="Arial"/>
    </x:font>
    <x:font>
      <x:sz val="10"/>
      <x:name val="Arial"/>
    </x:font>
    <x:font>
      <x:b/>
      <x:sz val="10"/>
      <x:color rgb="FF1F2937"/>
      <x:name val="Arial"/>
    </x:font>
    <x:font>
      <x:b/>
      <x:sz val="11"/>
      <x:color rgb="FF1F4E78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1"/>
      <x:color rgb="FF1F2937"/>
      <x:name val="Arial"/>
    </x:font>
    <x:font>
      <x:sz val="10"/>
      <x:color rgb="FF374151"/>
      <x:name val="Arial"/>
    </x:font>
    <x:font>
      <x:b/>
      <x:sz val="11"/>
      <x:color rgb="FF0F766E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F8FAFC"/>
      </x:patternFill>
    </x:fill>
    <x:fill>
      <x:patternFill patternType="solid">
        <x:fgColor rgb="FF1F4E78"/>
      </x:patternFill>
    </x:fill>
    <x:fill>
      <x:patternFill patternType="solid">
        <x:fgColor rgb="FFD9EDE8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200" fontId="5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horizontal="center" vertical="top"/>
    </x:xf>
    <x:xf numFmtId="200" fontId="6" fillId="0" borderId="0" xfId="0" applyNumberFormat="1" applyFont="1" applyFill="1" applyBorder="1" applyAlignment="1">
      <x:alignment horizontal="center" vertical="top"/>
    </x:xf>
    <x:xf numFmtId="0" fontId="0" fillId="4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/>
    </x:xf>
    <x:xf numFmtId="200" fontId="6" fillId="0" borderId="0" xfId="0" applyNumberFormat="1" applyFont="1" applyFill="1" applyBorder="1" applyAlignment="1">
      <x:alignment horizontal="center"/>
    </x:xf>
    <x:xf numFmtId="201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 applyAlignment="1">
      <x:alignment horizontal="center" vertical="center"/>
    </x:xf>
    <x:xf numFmtId="201" fontId="6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200" fontId="10" fillId="6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/>
  </x:cellXfs>
  <x:cellStyles count="1">
    <x:cellStyle name="Normal" xfId="0"/>
  </x:cellStyles>
  <x:dxfs count="30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78350F"/>
      </x:font>
      <x:fill>
        <x:patternFill>
          <x:bgColor rgb="FFFDE68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78350F"/>
      </x:font>
      <x:fill>
        <x:patternFill>
          <x:bgColor rgb="FFFDE68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78350F"/>
      </x:font>
      <x:fill>
        <x:patternFill>
          <x:bgColor rgb="FFFDE68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78350F"/>
      </x:font>
      <x:fill>
        <x:patternFill>
          <x:bgColor rgb="FFFDE68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78350F"/>
      </x:font>
      <x:fill>
        <x:patternFill>
          <x:bgColor rgb="FFFDE68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78350F"/>
      </x:font>
      <x:fill>
        <x:patternFill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7fbe79b108416d" /><Relationship Type="http://schemas.openxmlformats.org/officeDocument/2006/relationships/theme" Target="/xl/theme/theme1.xml" Id="R5cbcb3c78efc4e66" /><Relationship Type="http://schemas.openxmlformats.org/officeDocument/2006/relationships/sharedStrings" Target="/xl/sharedStrings.xml" Id="R2175bcab5ce44806" /><Relationship Type="http://schemas.openxmlformats.org/officeDocument/2006/relationships/worksheet" Target="/xl/worksheets/sheet1.xml" Id="R215c222668fa4733" /><Relationship Type="http://schemas.openxmlformats.org/officeDocument/2006/relationships/worksheet" Target="/xl/worksheets/sheet2.xml" Id="R87a6b4293c2a422d" /><Relationship Type="http://schemas.openxmlformats.org/officeDocument/2006/relationships/worksheet" Target="/xl/worksheets/sheet3.xml" Id="R08d9392f437d4740" /></Relationships>
</file>

<file path=xl/tables/table1.xml><?xml version="1.0" encoding="utf-8"?>
<x:table xmlns:x="http://schemas.openxmlformats.org/spreadsheetml/2006/main" id="1" name="WBSTasks" displayName="WBSTasks" ref="A9:N471" headerRowCount="1" totalsRowCount="0" totalsRowShown="0">
  <x:autoFilter ref="A9:N471"/>
  <x:tableColumns count="14">
    <x:tableColumn id="1" name="WBS ID"/>
    <x:tableColumn id="2" name="Phase"/>
    <x:tableColumn id="3" name="Work Package"/>
    <x:tableColumn id="4" name="Công việc cụ thể"/>
    <x:tableColumn id="5" name="Owner"/>
    <x:tableColumn id="6" name="Reviewer"/>
    <x:tableColumn id="7" name="Dependency"/>
    <x:tableColumn id="8" name="Deliverable / Điều kiện DONE"/>
    <x:tableColumn id="9" name="Priority"/>
    <x:tableColumn id="10" name="Status"/>
    <x:tableColumn id="11" name="% Complete"/>
    <x:tableColumn id="12" name="Start Date"/>
    <x:tableColumn id="13" name="Due Date"/>
    <x:tableColumn id="14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cutionPlan" displayName="ExecutionPlan" ref="A9:N85" headerRowCount="1" totalsRowCount="0" totalsRowShown="0">
  <x:autoFilter ref="A9:N85"/>
  <x:tableColumns count="14">
    <x:tableColumn id="1" name="WP ID"/>
    <x:tableColumn id="2" name="Phase"/>
    <x:tableColumn id="3" name="Gói công việc"/>
    <x:tableColumn id="4" name="Phạm vi chi tiết"/>
    <x:tableColumn id="5" name="Owner"/>
    <x:tableColumn id="6" name="Reviewer"/>
    <x:tableColumn id="7" name="Dependency"/>
    <x:tableColumn id="8" name="Deliverable / Điều kiện DONE"/>
    <x:tableColumn id="9" name="Priority"/>
    <x:tableColumn id="10" name="Status"/>
    <x:tableColumn id="11" name="% Complete"/>
    <x:tableColumn id="12" name="Start Date"/>
    <x:tableColumn id="13" name="Due Date"/>
    <x:tableColumn id="14" name="Ghi chú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f692e90a4547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8985277b2446f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11" hidden="0" customWidth="1"/>
    <x:col min="2" max="2" width="22" hidden="0" customWidth="1"/>
    <x:col min="3" max="3" width="20" hidden="0" customWidth="1"/>
    <x:col min="4" max="4" width="38" hidden="0" customWidth="1"/>
    <x:col min="5" max="5" width="10" hidden="0" customWidth="1"/>
    <x:col min="6" max="6" width="10" hidden="0" customWidth="1"/>
    <x:col min="7" max="7" width="20" hidden="0" customWidth="1"/>
    <x:col min="8" max="8" width="38" hidden="0" customWidth="1"/>
    <x:col min="9" max="9" width="10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8" hidden="0" customWidth="1"/>
  </x:cols>
  <x:sheetData>
    <x:row r="2" ht="26" customHeight="1">
      <x:c r="A2" s="2" t="str">
        <x:v>WBS CHI TIẾT — Air Quality Data Warehouse &amp; Mining</x:v>
      </x:c>
    </x:row>
    <x:row r="3">
      <x:c r="A3" s="3" t="str">
        <x:v>Checklist tham chiếu 462 task | Dùng sheet Kế hoạch để theo dõi công việc hằng ngày</x:v>
      </x:c>
    </x:row>
    <x:row r="5">
      <x:c r="A5" s="7" t="str">
        <x:v>Tổng task</x:v>
      </x:c>
      <x:c r="B5" s="10" t="n">
        <x:v>462</x:v>
      </x:c>
      <x:c r="C5" s="7" t="str">
        <x:v>Đã xong</x:v>
      </x:c>
      <x:c r="D5" s="10" t="n">
        <x:f>COUNTIF($J$10:$J$471,"DONE")</x:f>
        <x:v>0</x:v>
      </x:c>
      <x:c r="E5" s="7" t="str">
        <x:v>Đang làm</x:v>
      </x:c>
      <x:c r="F5" s="10" t="n">
        <x:f>COUNTIF($J$10:$J$471,"DOING")</x:f>
        <x:v>0</x:v>
      </x:c>
      <x:c r="G5" s="7" t="str">
        <x:v>Chờ review</x:v>
      </x:c>
      <x:c r="H5" s="10" t="n">
        <x:f>COUNTIF($J$10:$J$471,"REVIEW")</x:f>
        <x:v>0</x:v>
      </x:c>
      <x:c r="I5" s="7" t="str">
        <x:v>Bị chặn</x:v>
      </x:c>
      <x:c r="J5" s="10" t="n">
        <x:f>COUNTIF($J$10:$J$471,"BLOCKED")</x:f>
        <x:v>0</x:v>
      </x:c>
    </x:row>
    <x:row r="6">
      <x:c r="A6" s="7" t="str">
        <x:v>Tiến độ chung</x:v>
      </x:c>
      <x:c r="B6" s="11" t="n">
        <x:f>AVERAGE($K$10:$K$471)</x:f>
        <x:v>0</x:v>
      </x:c>
      <x:c r="C6" s="7" t="str">
        <x:v>Ưu tiên P0</x:v>
      </x:c>
      <x:c r="D6" s="10" t="n">
        <x:f>COUNTIF($I$10:$I$471,"P0")</x:f>
        <x:v>340</x:v>
      </x:c>
      <x:c r="E6" s="5"/>
      <x:c r="F6" s="5"/>
      <x:c r="G6" s="5"/>
      <x:c r="H6" s="5"/>
      <x:c r="I6" s="5"/>
      <x:c r="J6" s="5"/>
    </x:row>
    <x:row r="9" ht="34" customHeight="1">
      <x:c r="A9" s="17" t="str">
        <x:v>WBS ID</x:v>
      </x:c>
      <x:c r="B9" s="17" t="str">
        <x:v>Phase</x:v>
      </x:c>
      <x:c r="C9" s="17" t="str">
        <x:v>Work Package</x:v>
      </x:c>
      <x:c r="D9" s="17" t="str">
        <x:v>Công việc cụ thể</x:v>
      </x:c>
      <x:c r="E9" s="17" t="str">
        <x:v>Owner</x:v>
      </x:c>
      <x:c r="F9" s="17" t="str">
        <x:v>Reviewer</x:v>
      </x:c>
      <x:c r="G9" s="17" t="str">
        <x:v>Dependency</x:v>
      </x:c>
      <x:c r="H9" s="17" t="str">
        <x:v>Deliverable / Điều kiện DONE</x:v>
      </x:c>
      <x:c r="I9" s="17" t="str">
        <x:v>Priority</x:v>
      </x:c>
      <x:c r="J9" s="17" t="str">
        <x:v>Status</x:v>
      </x:c>
      <x:c r="K9" s="17" t="str">
        <x:v>% Complete</x:v>
      </x:c>
      <x:c r="L9" s="17" t="str">
        <x:v>Start Date</x:v>
      </x:c>
      <x:c r="M9" s="17" t="str">
        <x:v>Due Date</x:v>
      </x:c>
      <x:c r="N9" s="17" t="str">
        <x:v>Ghi chú</x:v>
      </x:c>
    </x:row>
    <x:row r="10" ht="44" customHeight="1">
      <x:c r="A10" s="18" t="str">
        <x:v>P0-01</x:v>
      </x:c>
      <x:c r="B10" s="18" t="str">
        <x:v>Phase 0 - Foundation</x:v>
      </x:c>
      <x:c r="C10" s="18" t="str">
        <x:v>Repository</x:v>
      </x:c>
      <x:c r="D10" s="20" t="str">
        <x:v>Tạo repository air-quality-project</x:v>
      </x:c>
      <x:c r="E10" s="23" t="str">
        <x:v>A</x:v>
      </x:c>
      <x:c r="F10" s="23" t="str">
        <x:v>B</x:v>
      </x:c>
      <x:c r="G10" s="20" t="str">
        <x:v>-</x:v>
      </x:c>
      <x:c r="H10" s="20" t="str">
        <x:v>Repo tồn tại và cả 2 truy cập được</x:v>
      </x:c>
      <x:c r="I10" s="23" t="str">
        <x:v>P0</x:v>
      </x:c>
      <x:c r="J10" s="23" t="str">
        <x:v>TODO</x:v>
      </x:c>
      <x:c r="K10" s="24" t="n">
        <x:f>IF(J10="DONE",1,IF(J10="REVIEW",0.8,IF(J10="DOING",0.5,0)))</x:f>
        <x:v>0</x:v>
      </x:c>
      <x:c r="L10" s="22"/>
      <x:c r="M10" s="22"/>
      <x:c r="N10" s="20" t="str"/>
    </x:row>
    <x:row r="11" ht="44" customHeight="1">
      <x:c r="A11" s="18" t="str">
        <x:v>P0-02</x:v>
      </x:c>
      <x:c r="B11" s="18" t="str">
        <x:v>Phase 0 - Foundation</x:v>
      </x:c>
      <x:c r="C11" s="18" t="str">
        <x:v>Repository</x:v>
      </x:c>
      <x:c r="D11" s="20" t="str">
        <x:v>Tạo branch main và thống nhất branch workflow</x:v>
      </x:c>
      <x:c r="E11" s="23" t="str">
        <x:v>A</x:v>
      </x:c>
      <x:c r="F11" s="23" t="str">
        <x:v>B</x:v>
      </x:c>
      <x:c r="G11" s="20" t="str">
        <x:v>P0-01</x:v>
      </x:c>
      <x:c r="H11" s="20" t="str">
        <x:v>Có main; thống nhất dùng feature/...</x:v>
      </x:c>
      <x:c r="I11" s="23" t="str">
        <x:v>P0</x:v>
      </x:c>
      <x:c r="J11" s="23" t="str">
        <x:v>TODO</x:v>
      </x:c>
      <x:c r="K11" s="24" t="n">
        <x:f>IF(J11="DONE",1,IF(J11="REVIEW",0.8,IF(J11="DOING",0.5,0)))</x:f>
        <x:v>0</x:v>
      </x:c>
      <x:c r="L11" s="22"/>
      <x:c r="M11" s="22"/>
      <x:c r="N11" s="20" t="str"/>
    </x:row>
    <x:row r="12" ht="44" customHeight="1">
      <x:c r="A12" s="18" t="str">
        <x:v>P0-03</x:v>
      </x:c>
      <x:c r="B12" s="18" t="str">
        <x:v>Phase 0 - Foundation</x:v>
      </x:c>
      <x:c r="C12" s="18" t="str">
        <x:v>Cấu trúc repo</x:v>
      </x:c>
      <x:c r="D12" s="20" t="str">
        <x:v>Tạo cấu trúc thư mục ban đầu</x:v>
      </x:c>
      <x:c r="E12" s="23" t="str">
        <x:v>A</x:v>
      </x:c>
      <x:c r="F12" s="23" t="str">
        <x:v>B</x:v>
      </x:c>
      <x:c r="G12" s="20" t="str">
        <x:v>P0-01</x:v>
      </x:c>
      <x:c r="H12" s="20" t="str">
        <x:v>Có docs, src, airflow, dbt, ml, dashboard, tests</x:v>
      </x:c>
      <x:c r="I12" s="23" t="str">
        <x:v>P0</x:v>
      </x:c>
      <x:c r="J12" s="23" t="str">
        <x:v>TODO</x:v>
      </x:c>
      <x:c r="K12" s="24" t="n">
        <x:f>IF(J12="DONE",1,IF(J12="REVIEW",0.8,IF(J12="DOING",0.5,0)))</x:f>
        <x:v>0</x:v>
      </x:c>
      <x:c r="L12" s="22"/>
      <x:c r="M12" s="22"/>
      <x:c r="N12" s="20" t="str"/>
    </x:row>
    <x:row r="13" ht="44" customHeight="1">
      <x:c r="A13" s="18" t="str">
        <x:v>P0-04</x:v>
      </x:c>
      <x:c r="B13" s="18" t="str">
        <x:v>Phase 0 - Foundation</x:v>
      </x:c>
      <x:c r="C13" s="18" t="str">
        <x:v>Tài liệu</x:v>
      </x:c>
      <x:c r="D13" s="20" t="str">
        <x:v>Đưa 4 tài liệu nền vào docs</x:v>
      </x:c>
      <x:c r="E13" s="23" t="str">
        <x:v>B</x:v>
      </x:c>
      <x:c r="F13" s="23" t="str">
        <x:v>A</x:v>
      </x:c>
      <x:c r="G13" s="20" t="str">
        <x:v>P0-03</x:v>
      </x:c>
      <x:c r="H13" s="20" t="str">
        <x:v>4 tài liệu nền tồn tại trong repo</x:v>
      </x:c>
      <x:c r="I13" s="23" t="str">
        <x:v>P0</x:v>
      </x:c>
      <x:c r="J13" s="23" t="str">
        <x:v>TODO</x:v>
      </x:c>
      <x:c r="K13" s="24" t="n">
        <x:f>IF(J13="DONE",1,IF(J13="REVIEW",0.8,IF(J13="DOING",0.5,0)))</x:f>
        <x:v>0</x:v>
      </x:c>
      <x:c r="L13" s="22"/>
      <x:c r="M13" s="22"/>
      <x:c r="N13" s="20" t="str"/>
    </x:row>
    <x:row r="14" ht="44" customHeight="1">
      <x:c r="A14" s="18" t="str">
        <x:v>P0-05</x:v>
      </x:c>
      <x:c r="B14" s="18" t="str">
        <x:v>Phase 0 - Foundation</x:v>
      </x:c>
      <x:c r="C14" s="18" t="str">
        <x:v>Theo dõi tiến độ</x:v>
      </x:c>
      <x:c r="D14" s="20" t="str">
        <x:v>Tạo PROGRESS.md</x:v>
      </x:c>
      <x:c r="E14" s="23" t="str">
        <x:v>B</x:v>
      </x:c>
      <x:c r="F14" s="23" t="str">
        <x:v>A</x:v>
      </x:c>
      <x:c r="G14" s="20" t="str">
        <x:v>P0-04</x:v>
      </x:c>
      <x:c r="H14" s="20" t="str">
        <x:v>File có format cập nhật tiến độ</x:v>
      </x:c>
      <x:c r="I14" s="23" t="str">
        <x:v>P1</x:v>
      </x:c>
      <x:c r="J14" s="23" t="str">
        <x:v>TODO</x:v>
      </x:c>
      <x:c r="K14" s="24" t="n">
        <x:f>IF(J14="DONE",1,IF(J14="REVIEW",0.8,IF(J14="DOING",0.5,0)))</x:f>
        <x:v>0</x:v>
      </x:c>
      <x:c r="L14" s="22"/>
      <x:c r="M14" s="22"/>
      <x:c r="N14" s="20" t="str"/>
    </x:row>
    <x:row r="15" ht="44" customHeight="1">
      <x:c r="A15" s="18" t="str">
        <x:v>P0-06</x:v>
      </x:c>
      <x:c r="B15" s="18" t="str">
        <x:v>Phase 0 - Foundation</x:v>
      </x:c>
      <x:c r="C15" s="18" t="str">
        <x:v>Cấu hình Git</x:v>
      </x:c>
      <x:c r="D15" s="20" t="str">
        <x:v>Tạo .gitignore</x:v>
      </x:c>
      <x:c r="E15" s="23" t="str">
        <x:v>A</x:v>
      </x:c>
      <x:c r="F15" s="23" t="str">
        <x:v>B</x:v>
      </x:c>
      <x:c r="G15" s="20" t="str">
        <x:v>P0-01</x:v>
      </x:c>
      <x:c r="H15" s="20" t="str">
        <x:v>Không commit .env, raw data, volume, cache, model lớn</x:v>
      </x:c>
      <x:c r="I15" s="23" t="str">
        <x:v>P0</x:v>
      </x:c>
      <x:c r="J15" s="23" t="str">
        <x:v>TODO</x:v>
      </x:c>
      <x:c r="K15" s="24" t="n">
        <x:f>IF(J15="DONE",1,IF(J15="REVIEW",0.8,IF(J15="DOING",0.5,0)))</x:f>
        <x:v>0</x:v>
      </x:c>
      <x:c r="L15" s="22"/>
      <x:c r="M15" s="22"/>
      <x:c r="N15" s="20" t="str"/>
    </x:row>
    <x:row r="16" ht="44" customHeight="1">
      <x:c r="A16" s="18" t="str">
        <x:v>P0-07</x:v>
      </x:c>
      <x:c r="B16" s="18" t="str">
        <x:v>Phase 0 - Foundation</x:v>
      </x:c>
      <x:c r="C16" s="18" t="str">
        <x:v>Cấu hình môi trường</x:v>
      </x:c>
      <x:c r="D16" s="20" t="str">
        <x:v>Tạo .env.example</x:v>
      </x:c>
      <x:c r="E16" s="23" t="str">
        <x:v>A</x:v>
      </x:c>
      <x:c r="F16" s="23" t="str">
        <x:v>B</x:v>
      </x:c>
      <x:c r="G16" s="20" t="str">
        <x:v>P0-03</x:v>
      </x:c>
      <x:c r="H16" s="20" t="str">
        <x:v>Có placeholder config, không có mật khẩu thật</x:v>
      </x:c>
      <x:c r="I16" s="23" t="str">
        <x:v>P0</x:v>
      </x:c>
      <x:c r="J16" s="23" t="str">
        <x:v>TODO</x:v>
      </x:c>
      <x:c r="K16" s="24" t="n">
        <x:f>IF(J16="DONE",1,IF(J16="REVIEW",0.8,IF(J16="DOING",0.5,0)))</x:f>
        <x:v>0</x:v>
      </x:c>
      <x:c r="L16" s="22"/>
      <x:c r="M16" s="22"/>
      <x:c r="N16" s="20" t="str"/>
    </x:row>
    <x:row r="17" ht="44" customHeight="1">
      <x:c r="A17" s="18" t="str">
        <x:v>P0-08</x:v>
      </x:c>
      <x:c r="B17" s="18" t="str">
        <x:v>Phase 0 - Foundation</x:v>
      </x:c>
      <x:c r="C17" s="18" t="str">
        <x:v>Tài liệu</x:v>
      </x:c>
      <x:c r="D17" s="20" t="str">
        <x:v>Tạo README.md bản đầu</x:v>
      </x:c>
      <x:c r="E17" s="23" t="str">
        <x:v>B</x:v>
      </x:c>
      <x:c r="F17" s="23" t="str">
        <x:v>A</x:v>
      </x:c>
      <x:c r="G17" s="20" t="str">
        <x:v>P0-03</x:v>
      </x:c>
      <x:c r="H17" s="20" t="str">
        <x:v>Có mục tiêu, tech stack, cấu trúc repo, link docs</x:v>
      </x:c>
      <x:c r="I17" s="23" t="str">
        <x:v>P1</x:v>
      </x:c>
      <x:c r="J17" s="23" t="str">
        <x:v>TODO</x:v>
      </x:c>
      <x:c r="K17" s="24" t="n">
        <x:f>IF(J17="DONE",1,IF(J17="REVIEW",0.8,IF(J17="DOING",0.5,0)))</x:f>
        <x:v>0</x:v>
      </x:c>
      <x:c r="L17" s="22"/>
      <x:c r="M17" s="22"/>
      <x:c r="N17" s="20" t="str"/>
    </x:row>
    <x:row r="18" ht="44" customHeight="1">
      <x:c r="A18" s="18" t="str">
        <x:v>P0-09</x:v>
      </x:c>
      <x:c r="B18" s="18" t="str">
        <x:v>Phase 0 - Foundation</x:v>
      </x:c>
      <x:c r="C18" s="18" t="str">
        <x:v>Infrastructure</x:v>
      </x:c>
      <x:c r="D18" s="20" t="str">
        <x:v>Tạo docker-compose.yml bản khung</x:v>
      </x:c>
      <x:c r="E18" s="23" t="str">
        <x:v>A</x:v>
      </x:c>
      <x:c r="F18" s="23" t="str">
        <x:v>B</x:v>
      </x:c>
      <x:c r="G18" s="20" t="str">
        <x:v>P0-03</x:v>
      </x:c>
      <x:c r="H18" s="20" t="str">
        <x:v>File tồn tại; chưa cần dựng full infrastructure</x:v>
      </x:c>
      <x:c r="I18" s="23" t="str">
        <x:v>P1</x:v>
      </x:c>
      <x:c r="J18" s="23" t="str">
        <x:v>TODO</x:v>
      </x:c>
      <x:c r="K18" s="24" t="n">
        <x:f>IF(J18="DONE",1,IF(J18="REVIEW",0.8,IF(J18="DOING",0.5,0)))</x:f>
        <x:v>0</x:v>
      </x:c>
      <x:c r="L18" s="22"/>
      <x:c r="M18" s="22"/>
      <x:c r="N18" s="20" t="str"/>
    </x:row>
    <x:row r="19" ht="44" customHeight="1">
      <x:c r="A19" s="18" t="str">
        <x:v>P0-10</x:v>
      </x:c>
      <x:c r="B19" s="18" t="str">
        <x:v>Phase 0 - Foundation</x:v>
      </x:c>
      <x:c r="C19" s="18" t="str">
        <x:v>Git workflow</x:v>
      </x:c>
      <x:c r="D19" s="20" t="str">
        <x:v>Clone repo trên máy thành viên A</x:v>
      </x:c>
      <x:c r="E19" s="23" t="str">
        <x:v>A</x:v>
      </x:c>
      <x:c r="F19" s="23" t="str">
        <x:v>B</x:v>
      </x:c>
      <x:c r="G19" s="20" t="str">
        <x:v>P0-01</x:v>
      </x:c>
      <x:c r="H19" s="20" t="str">
        <x:v>Clone thành công</x:v>
      </x:c>
      <x:c r="I19" s="23" t="str">
        <x:v>P0</x:v>
      </x:c>
      <x:c r="J19" s="23" t="str">
        <x:v>TODO</x:v>
      </x:c>
      <x:c r="K19" s="24" t="n">
        <x:f>IF(J19="DONE",1,IF(J19="REVIEW",0.8,IF(J19="DOING",0.5,0)))</x:f>
        <x:v>0</x:v>
      </x:c>
      <x:c r="L19" s="22"/>
      <x:c r="M19" s="22"/>
      <x:c r="N19" s="20" t="str"/>
    </x:row>
    <x:row r="20" ht="44" customHeight="1">
      <x:c r="A20" s="18" t="str">
        <x:v>P0-11</x:v>
      </x:c>
      <x:c r="B20" s="18" t="str">
        <x:v>Phase 0 - Foundation</x:v>
      </x:c>
      <x:c r="C20" s="18" t="str">
        <x:v>Git workflow</x:v>
      </x:c>
      <x:c r="D20" s="20" t="str">
        <x:v>Clone repo trên máy thành viên B</x:v>
      </x:c>
      <x:c r="E20" s="23" t="str">
        <x:v>B</x:v>
      </x:c>
      <x:c r="F20" s="23" t="str">
        <x:v>A</x:v>
      </x:c>
      <x:c r="G20" s="20" t="str">
        <x:v>P0-01</x:v>
      </x:c>
      <x:c r="H20" s="20" t="str">
        <x:v>Clone thành công</x:v>
      </x:c>
      <x:c r="I20" s="23" t="str">
        <x:v>P0</x:v>
      </x:c>
      <x:c r="J20" s="23" t="str">
        <x:v>TODO</x:v>
      </x:c>
      <x:c r="K20" s="24" t="n">
        <x:f>IF(J20="DONE",1,IF(J20="REVIEW",0.8,IF(J20="DOING",0.5,0)))</x:f>
        <x:v>0</x:v>
      </x:c>
      <x:c r="L20" s="22"/>
      <x:c r="M20" s="22"/>
      <x:c r="N20" s="20" t="str"/>
    </x:row>
    <x:row r="21" ht="44" customHeight="1">
      <x:c r="A21" s="18" t="str">
        <x:v>P0-12</x:v>
      </x:c>
      <x:c r="B21" s="18" t="str">
        <x:v>Phase 0 - Foundation</x:v>
      </x:c>
      <x:c r="C21" s="18" t="str">
        <x:v>Git workflow</x:v>
      </x:c>
      <x:c r="D21" s="20" t="str">
        <x:v>Test workflow Git đơn giản</x:v>
      </x:c>
      <x:c r="E21" s="23" t="str">
        <x:v>B</x:v>
      </x:c>
      <x:c r="F21" s="23" t="str">
        <x:v>A</x:v>
      </x:c>
      <x:c r="G21" s="20" t="str">
        <x:v>P0-10, P0-11</x:v>
      </x:c>
      <x:c r="H21" s="20" t="str">
        <x:v>Tạo branch, commit, push và merge thành công</x:v>
      </x:c>
      <x:c r="I21" s="23" t="str">
        <x:v>P0</x:v>
      </x:c>
      <x:c r="J21" s="23" t="str">
        <x:v>TODO</x:v>
      </x:c>
      <x:c r="K21" s="24" t="n">
        <x:f>IF(J21="DONE",1,IF(J21="REVIEW",0.8,IF(J21="DOING",0.5,0)))</x:f>
        <x:v>0</x:v>
      </x:c>
      <x:c r="L21" s="22"/>
      <x:c r="M21" s="22"/>
      <x:c r="N21" s="20" t="str"/>
    </x:row>
    <x:row r="22" ht="44" customHeight="1">
      <x:c r="A22" s="18" t="str">
        <x:v>P0-13</x:v>
      </x:c>
      <x:c r="B22" s="18" t="str">
        <x:v>Phase 0 - Foundation</x:v>
      </x:c>
      <x:c r="C22" s="18" t="str">
        <x:v>Theo dõi tiến độ</x:v>
      </x:c>
      <x:c r="D22" s="20" t="str">
        <x:v>Ghi checkpoint Phase 0 vào PROGRESS.md</x:v>
      </x:c>
      <x:c r="E22" s="23" t="str">
        <x:v>B</x:v>
      </x:c>
      <x:c r="F22" s="23" t="str">
        <x:v>A</x:v>
      </x:c>
      <x:c r="G22" s="20" t="str">
        <x:v>P0-01 đến P0-12</x:v>
      </x:c>
      <x:c r="H22" s="20" t="str">
        <x:v>Có Completed, Evidence, Problems, Next</x:v>
      </x:c>
      <x:c r="I22" s="23" t="str">
        <x:v>P1</x:v>
      </x:c>
      <x:c r="J22" s="23" t="str">
        <x:v>TODO</x:v>
      </x:c>
      <x:c r="K22" s="24" t="n">
        <x:f>IF(J22="DONE",1,IF(J22="REVIEW",0.8,IF(J22="DOING",0.5,0)))</x:f>
        <x:v>0</x:v>
      </x:c>
      <x:c r="L22" s="22"/>
      <x:c r="M22" s="22"/>
      <x:c r="N22" s="20" t="str"/>
    </x:row>
    <x:row r="23" ht="44" customHeight="1">
      <x:c r="A23" s="18" t="str">
        <x:v>P1-01</x:v>
      </x:c>
      <x:c r="B23" s="18" t="str">
        <x:v>Phase 1 - Profiling</x:v>
      </x:c>
      <x:c r="C23" s="18" t="str">
        <x:v>Chuẩn bị dataset</x:v>
      </x:c>
      <x:c r="D23" s="20" t="str">
        <x:v>Thu đủ 12 file PRSA UCI</x:v>
      </x:c>
      <x:c r="E23" s="23" t="str">
        <x:v>B</x:v>
      </x:c>
      <x:c r="F23" s="23" t="str">
        <x:v>A</x:v>
      </x:c>
      <x:c r="G23" s="20" t="str">
        <x:v>Phase 0</x:v>
      </x:c>
      <x:c r="H23" s="20" t="str">
        <x:v>Có đủ 12 CSV</x:v>
      </x:c>
      <x:c r="I23" s="23" t="str">
        <x:v>P0</x:v>
      </x:c>
      <x:c r="J23" s="23" t="str">
        <x:v>TODO</x:v>
      </x:c>
      <x:c r="K23" s="24" t="n">
        <x:f>IF(J23="DONE",1,IF(J23="REVIEW",0.8,IF(J23="DOING",0.5,0)))</x:f>
        <x:v>0</x:v>
      </x:c>
      <x:c r="L23" s="22"/>
      <x:c r="M23" s="22"/>
      <x:c r="N23" s="20" t="str"/>
    </x:row>
    <x:row r="24" ht="44" customHeight="1">
      <x:c r="A24" s="18" t="str">
        <x:v>P1-02</x:v>
      </x:c>
      <x:c r="B24" s="18" t="str">
        <x:v>Phase 1 - Profiling</x:v>
      </x:c>
      <x:c r="C24" s="18" t="str">
        <x:v>Chuẩn bị dataset</x:v>
      </x:c>
      <x:c r="D24" s="20" t="str">
        <x:v>Tạo danh sách inventory file</x:v>
      </x:c>
      <x:c r="E24" s="23" t="str">
        <x:v>B</x:v>
      </x:c>
      <x:c r="F24" s="23" t="str">
        <x:v>A</x:v>
      </x:c>
      <x:c r="G24" s="20" t="str">
        <x:v>P1-01</x:v>
      </x:c>
      <x:c r="H24" s="20" t="str">
        <x:v>Có filename và station tương ứng</x:v>
      </x:c>
      <x:c r="I24" s="23" t="str">
        <x:v>P0</x:v>
      </x:c>
      <x:c r="J24" s="23" t="str">
        <x:v>TODO</x:v>
      </x:c>
      <x:c r="K24" s="24" t="n">
        <x:f>IF(J24="DONE",1,IF(J24="REVIEW",0.8,IF(J24="DOING",0.5,0)))</x:f>
        <x:v>0</x:v>
      </x:c>
      <x:c r="L24" s="22"/>
      <x:c r="M24" s="22"/>
      <x:c r="N24" s="20" t="str"/>
    </x:row>
    <x:row r="25" ht="44" customHeight="1">
      <x:c r="A25" s="18" t="str">
        <x:v>P1-03</x:v>
      </x:c>
      <x:c r="B25" s="18" t="str">
        <x:v>Phase 1 - Profiling</x:v>
      </x:c>
      <x:c r="C25" s="18" t="str">
        <x:v>Chuẩn bị dataset</x:v>
      </x:c>
      <x:c r="D25" s="20" t="str">
        <x:v>Kiểm tra file thiếu hoặc trùng</x:v>
      </x:c>
      <x:c r="E25" s="23" t="str">
        <x:v>B</x:v>
      </x:c>
      <x:c r="F25" s="23" t="str">
        <x:v>A</x:v>
      </x:c>
      <x:c r="G25" s="20" t="str">
        <x:v>P1-02</x:v>
      </x:c>
      <x:c r="H25" s="20" t="str">
        <x:v>Inventory có đúng 12 station</x:v>
      </x:c>
      <x:c r="I25" s="23" t="str">
        <x:v>P0</x:v>
      </x:c>
      <x:c r="J25" s="23" t="str">
        <x:v>TODO</x:v>
      </x:c>
      <x:c r="K25" s="24" t="n">
        <x:f>IF(J25="DONE",1,IF(J25="REVIEW",0.8,IF(J25="DOING",0.5,0)))</x:f>
        <x:v>0</x:v>
      </x:c>
      <x:c r="L25" s="22"/>
      <x:c r="M25" s="22"/>
      <x:c r="N25" s="20" t="str"/>
    </x:row>
    <x:row r="26" ht="44" customHeight="1">
      <x:c r="A26" s="18" t="str">
        <x:v>P1-04</x:v>
      </x:c>
      <x:c r="B26" s="18" t="str">
        <x:v>Phase 1 - Profiling</x:v>
      </x:c>
      <x:c r="C26" s="18" t="str">
        <x:v>Chuẩn bị dataset</x:v>
      </x:c>
      <x:c r="D26" s="20" t="str">
        <x:v>Kiểm tra schema sơ bộ từng file</x:v>
      </x:c>
      <x:c r="E26" s="23" t="str">
        <x:v>A</x:v>
      </x:c>
      <x:c r="F26" s="23" t="str">
        <x:v>B</x:v>
      </x:c>
      <x:c r="G26" s="20" t="str">
        <x:v>P1-01</x:v>
      </x:c>
      <x:c r="H26" s="20" t="str">
        <x:v>Xác nhận số cột và tên cột</x:v>
      </x:c>
      <x:c r="I26" s="23" t="str">
        <x:v>P0</x:v>
      </x:c>
      <x:c r="J26" s="23" t="str">
        <x:v>TODO</x:v>
      </x:c>
      <x:c r="K26" s="24" t="n">
        <x:f>IF(J26="DONE",1,IF(J26="REVIEW",0.8,IF(J26="DOING",0.5,0)))</x:f>
        <x:v>0</x:v>
      </x:c>
      <x:c r="L26" s="22"/>
      <x:c r="M26" s="22"/>
      <x:c r="N26" s="20" t="str"/>
    </x:row>
    <x:row r="27" ht="44" customHeight="1">
      <x:c r="A27" s="18" t="str">
        <x:v>P1-05</x:v>
      </x:c>
      <x:c r="B27" s="18" t="str">
        <x:v>Phase 1 - Profiling</x:v>
      </x:c>
      <x:c r="C27" s="18" t="str">
        <x:v>Chuẩn bị dataset</x:v>
      </x:c>
      <x:c r="D27" s="20" t="str">
        <x:v>Xác nhận mỗi file chỉ chứa 1 station</x:v>
      </x:c>
      <x:c r="E27" s="23" t="str">
        <x:v>A</x:v>
      </x:c>
      <x:c r="F27" s="23" t="str">
        <x:v>B</x:v>
      </x:c>
      <x:c r="G27" s="20" t="str">
        <x:v>P1-01</x:v>
      </x:c>
      <x:c r="H27" s="20" t="str">
        <x:v>Mỗi file có đúng 1 station</x:v>
      </x:c>
      <x:c r="I27" s="23" t="str">
        <x:v>P0</x:v>
      </x:c>
      <x:c r="J27" s="23" t="str">
        <x:v>TODO</x:v>
      </x:c>
      <x:c r="K27" s="24" t="n">
        <x:f>IF(J27="DONE",1,IF(J27="REVIEW",0.8,IF(J27="DOING",0.5,0)))</x:f>
        <x:v>0</x:v>
      </x:c>
      <x:c r="L27" s="22"/>
      <x:c r="M27" s="22"/>
      <x:c r="N27" s="20" t="str"/>
    </x:row>
    <x:row r="28" ht="44" customHeight="1">
      <x:c r="A28" s="18" t="str">
        <x:v>P1-06</x:v>
      </x:c>
      <x:c r="B28" s="18" t="str">
        <x:v>Phase 1 - Profiling</x:v>
      </x:c>
      <x:c r="C28" s="18" t="str">
        <x:v>Chuẩn bị dataset</x:v>
      </x:c>
      <x:c r="D28" s="20" t="str">
        <x:v>Đặt raw dataset ngoài Git</x:v>
      </x:c>
      <x:c r="E28" s="23" t="str">
        <x:v>A</x:v>
      </x:c>
      <x:c r="F28" s="23" t="str">
        <x:v>B</x:v>
      </x:c>
      <x:c r="G28" s="20" t="str">
        <x:v>P1-01</x:v>
      </x:c>
      <x:c r="H28" s="20" t="str">
        <x:v>Dataset không bị commit vào repository</x:v>
      </x:c>
      <x:c r="I28" s="23" t="str">
        <x:v>P0</x:v>
      </x:c>
      <x:c r="J28" s="23" t="str">
        <x:v>TODO</x:v>
      </x:c>
      <x:c r="K28" s="24" t="n">
        <x:f>IF(J28="DONE",1,IF(J28="REVIEW",0.8,IF(J28="DOING",0.5,0)))</x:f>
        <x:v>0</x:v>
      </x:c>
      <x:c r="L28" s="22"/>
      <x:c r="M28" s="22"/>
      <x:c r="N28" s="20" t="str"/>
    </x:row>
    <x:row r="29" ht="44" customHeight="1">
      <x:c r="A29" s="18" t="str">
        <x:v>P1-07</x:v>
      </x:c>
      <x:c r="B29" s="18" t="str">
        <x:v>Phase 1 - Profiling</x:v>
      </x:c>
      <x:c r="C29" s="18" t="str">
        <x:v>Profiling script</x:v>
      </x:c>
      <x:c r="D29" s="20" t="str">
        <x:v>Viết hàm đọc 1 CSV</x:v>
      </x:c>
      <x:c r="E29" s="23" t="str">
        <x:v>A</x:v>
      </x:c>
      <x:c r="F29" s="23" t="str">
        <x:v>B</x:v>
      </x:c>
      <x:c r="G29" s="20" t="str">
        <x:v>P1-01</x:v>
      </x:c>
      <x:c r="H29" s="20" t="str">
        <x:v>Đọc được file Aotizhongxin</x:v>
      </x:c>
      <x:c r="I29" s="23" t="str">
        <x:v>P0</x:v>
      </x:c>
      <x:c r="J29" s="23" t="str">
        <x:v>TODO</x:v>
      </x:c>
      <x:c r="K29" s="24" t="n">
        <x:f>IF(J29="DONE",1,IF(J29="REVIEW",0.8,IF(J29="DOING",0.5,0)))</x:f>
        <x:v>0</x:v>
      </x:c>
      <x:c r="L29" s="22"/>
      <x:c r="M29" s="22"/>
      <x:c r="N29" s="20" t="str"/>
    </x:row>
    <x:row r="30" ht="44" customHeight="1">
      <x:c r="A30" s="18" t="str">
        <x:v>P1-08</x:v>
      </x:c>
      <x:c r="B30" s="18" t="str">
        <x:v>Phase 1 - Profiling</x:v>
      </x:c>
      <x:c r="C30" s="18" t="str">
        <x:v>Profiling script</x:v>
      </x:c>
      <x:c r="D30" s="20" t="str">
        <x:v>Ghép year, month, day, hour thành timestamp tạm</x:v>
      </x:c>
      <x:c r="E30" s="23" t="str">
        <x:v>A</x:v>
      </x:c>
      <x:c r="F30" s="23" t="str">
        <x:v>B</x:v>
      </x:c>
      <x:c r="G30" s="20" t="str">
        <x:v>P1-07</x:v>
      </x:c>
      <x:c r="H30" s="20" t="str">
        <x:v>Có timestamp để kiểm tra timeline</x:v>
      </x:c>
      <x:c r="I30" s="23" t="str">
        <x:v>P0</x:v>
      </x:c>
      <x:c r="J30" s="23" t="str">
        <x:v>TODO</x:v>
      </x:c>
      <x:c r="K30" s="24" t="n">
        <x:f>IF(J30="DONE",1,IF(J30="REVIEW",0.8,IF(J30="DOING",0.5,0)))</x:f>
        <x:v>0</x:v>
      </x:c>
      <x:c r="L30" s="22"/>
      <x:c r="M30" s="22"/>
      <x:c r="N30" s="20" t="str"/>
    </x:row>
    <x:row r="31" ht="44" customHeight="1">
      <x:c r="A31" s="18" t="str">
        <x:v>P1-09</x:v>
      </x:c>
      <x:c r="B31" s="18" t="str">
        <x:v>Phase 1 - Profiling</x:v>
      </x:c>
      <x:c r="C31" s="18" t="str">
        <x:v>Profiling script</x:v>
      </x:c>
      <x:c r="D31" s="20" t="str">
        <x:v>Tính row_count và column_count</x:v>
      </x:c>
      <x:c r="E31" s="23" t="str">
        <x:v>A</x:v>
      </x:c>
      <x:c r="F31" s="23" t="str">
        <x:v>B</x:v>
      </x:c>
      <x:c r="G31" s="20" t="str">
        <x:v>P1-07</x:v>
      </x:c>
      <x:c r="H31" s="20" t="str">
        <x:v>Có số liệu đúng</x:v>
      </x:c>
      <x:c r="I31" s="23" t="str">
        <x:v>P1</x:v>
      </x:c>
      <x:c r="J31" s="23" t="str">
        <x:v>TODO</x:v>
      </x:c>
      <x:c r="K31" s="24" t="n">
        <x:f>IF(J31="DONE",1,IF(J31="REVIEW",0.8,IF(J31="DOING",0.5,0)))</x:f>
        <x:v>0</x:v>
      </x:c>
      <x:c r="L31" s="22"/>
      <x:c r="M31" s="22"/>
      <x:c r="N31" s="20" t="str"/>
    </x:row>
    <x:row r="32" ht="44" customHeight="1">
      <x:c r="A32" s="18" t="str">
        <x:v>P1-10</x:v>
      </x:c>
      <x:c r="B32" s="18" t="str">
        <x:v>Phase 1 - Profiling</x:v>
      </x:c>
      <x:c r="C32" s="18" t="str">
        <x:v>Profiling script</x:v>
      </x:c>
      <x:c r="D32" s="20" t="str">
        <x:v>Lấy station_name</x:v>
      </x:c>
      <x:c r="E32" s="23" t="str">
        <x:v>A</x:v>
      </x:c>
      <x:c r="F32" s="23" t="str">
        <x:v>B</x:v>
      </x:c>
      <x:c r="G32" s="20" t="str">
        <x:v>P1-07</x:v>
      </x:c>
      <x:c r="H32" s="20" t="str">
        <x:v>Xác định đúng station</x:v>
      </x:c>
      <x:c r="I32" s="23" t="str">
        <x:v>P1</x:v>
      </x:c>
      <x:c r="J32" s="23" t="str">
        <x:v>TODO</x:v>
      </x:c>
      <x:c r="K32" s="24" t="n">
        <x:f>IF(J32="DONE",1,IF(J32="REVIEW",0.8,IF(J32="DOING",0.5,0)))</x:f>
        <x:v>0</x:v>
      </x:c>
      <x:c r="L32" s="22"/>
      <x:c r="M32" s="22"/>
      <x:c r="N32" s="20" t="str"/>
    </x:row>
    <x:row r="33" ht="44" customHeight="1">
      <x:c r="A33" s="18" t="str">
        <x:v>P1-11</x:v>
      </x:c>
      <x:c r="B33" s="18" t="str">
        <x:v>Phase 1 - Profiling</x:v>
      </x:c>
      <x:c r="C33" s="18" t="str">
        <x:v>Profiling script</x:v>
      </x:c>
      <x:c r="D33" s="20" t="str">
        <x:v>Tính start_time và end_time</x:v>
      </x:c>
      <x:c r="E33" s="23" t="str">
        <x:v>A</x:v>
      </x:c>
      <x:c r="F33" s="23" t="str">
        <x:v>B</x:v>
      </x:c>
      <x:c r="G33" s="20" t="str">
        <x:v>P1-08</x:v>
      </x:c>
      <x:c r="H33" s="20" t="str">
        <x:v>Có khoảng thời gian</x:v>
      </x:c>
      <x:c r="I33" s="23" t="str">
        <x:v>P0</x:v>
      </x:c>
      <x:c r="J33" s="23" t="str">
        <x:v>TODO</x:v>
      </x:c>
      <x:c r="K33" s="24" t="n">
        <x:f>IF(J33="DONE",1,IF(J33="REVIEW",0.8,IF(J33="DOING",0.5,0)))</x:f>
        <x:v>0</x:v>
      </x:c>
      <x:c r="L33" s="22"/>
      <x:c r="M33" s="22"/>
      <x:c r="N33" s="20" t="str"/>
    </x:row>
    <x:row r="34" ht="44" customHeight="1">
      <x:c r="A34" s="18" t="str">
        <x:v>P1-12</x:v>
      </x:c>
      <x:c r="B34" s="18" t="str">
        <x:v>Phase 1 - Profiling</x:v>
      </x:c>
      <x:c r="C34" s="18" t="str">
        <x:v>Profiling script</x:v>
      </x:c>
      <x:c r="D34" s="20" t="str">
        <x:v>Kiểm tra duplicate timestamp</x:v>
      </x:c>
      <x:c r="E34" s="23" t="str">
        <x:v>A</x:v>
      </x:c>
      <x:c r="F34" s="23" t="str">
        <x:v>B</x:v>
      </x:c>
      <x:c r="G34" s="20" t="str">
        <x:v>P1-08</x:v>
      </x:c>
      <x:c r="H34" s="20" t="str">
        <x:v>Có duplicate count</x:v>
      </x:c>
      <x:c r="I34" s="23" t="str">
        <x:v>P0</x:v>
      </x:c>
      <x:c r="J34" s="23" t="str">
        <x:v>TODO</x:v>
      </x:c>
      <x:c r="K34" s="24" t="n">
        <x:f>IF(J34="DONE",1,IF(J34="REVIEW",0.8,IF(J34="DOING",0.5,0)))</x:f>
        <x:v>0</x:v>
      </x:c>
      <x:c r="L34" s="22"/>
      <x:c r="M34" s="22"/>
      <x:c r="N34" s="20" t="str"/>
    </x:row>
    <x:row r="35" ht="44" customHeight="1">
      <x:c r="A35" s="18" t="str">
        <x:v>P1-13</x:v>
      </x:c>
      <x:c r="B35" s="18" t="str">
        <x:v>Phase 1 - Profiling</x:v>
      </x:c>
      <x:c r="C35" s="18" t="str">
        <x:v>Profiling script</x:v>
      </x:c>
      <x:c r="D35" s="20" t="str">
        <x:v>Kiểm tra missing timestamp</x:v>
      </x:c>
      <x:c r="E35" s="23" t="str">
        <x:v>A</x:v>
      </x:c>
      <x:c r="F35" s="23" t="str">
        <x:v>B</x:v>
      </x:c>
      <x:c r="G35" s="20" t="str">
        <x:v>P1-08</x:v>
      </x:c>
      <x:c r="H35" s="20" t="str">
        <x:v>Có missing-hour count</x:v>
      </x:c>
      <x:c r="I35" s="23" t="str">
        <x:v>P0</x:v>
      </x:c>
      <x:c r="J35" s="23" t="str">
        <x:v>TODO</x:v>
      </x:c>
      <x:c r="K35" s="24" t="n">
        <x:f>IF(J35="DONE",1,IF(J35="REVIEW",0.8,IF(J35="DOING",0.5,0)))</x:f>
        <x:v>0</x:v>
      </x:c>
      <x:c r="L35" s="22"/>
      <x:c r="M35" s="22"/>
      <x:c r="N35" s="20" t="str"/>
    </x:row>
    <x:row r="36" ht="44" customHeight="1">
      <x:c r="A36" s="18" t="str">
        <x:v>P1-14</x:v>
      </x:c>
      <x:c r="B36" s="18" t="str">
        <x:v>Phase 1 - Profiling</x:v>
      </x:c>
      <x:c r="C36" s="18" t="str">
        <x:v>Profiling script</x:v>
      </x:c>
      <x:c r="D36" s="20" t="str">
        <x:v>Tính missing count từng biến</x:v>
      </x:c>
      <x:c r="E36" s="23" t="str">
        <x:v>A</x:v>
      </x:c>
      <x:c r="F36" s="23" t="str">
        <x:v>B</x:v>
      </x:c>
      <x:c r="G36" s="20" t="str">
        <x:v>P1-07</x:v>
      </x:c>
      <x:c r="H36" s="20" t="str">
        <x:v>Có bảng missing count</x:v>
      </x:c>
      <x:c r="I36" s="23" t="str">
        <x:v>P0</x:v>
      </x:c>
      <x:c r="J36" s="23" t="str">
        <x:v>TODO</x:v>
      </x:c>
      <x:c r="K36" s="24" t="n">
        <x:f>IF(J36="DONE",1,IF(J36="REVIEW",0.8,IF(J36="DOING",0.5,0)))</x:f>
        <x:v>0</x:v>
      </x:c>
      <x:c r="L36" s="22"/>
      <x:c r="M36" s="22"/>
      <x:c r="N36" s="20" t="str"/>
    </x:row>
    <x:row r="37" ht="44" customHeight="1">
      <x:c r="A37" s="18" t="str">
        <x:v>P1-15</x:v>
      </x:c>
      <x:c r="B37" s="18" t="str">
        <x:v>Phase 1 - Profiling</x:v>
      </x:c>
      <x:c r="C37" s="18" t="str">
        <x:v>Profiling script</x:v>
      </x:c>
      <x:c r="D37" s="20" t="str">
        <x:v>Tính missing percentage</x:v>
      </x:c>
      <x:c r="E37" s="23" t="str">
        <x:v>A</x:v>
      </x:c>
      <x:c r="F37" s="23" t="str">
        <x:v>B</x:v>
      </x:c>
      <x:c r="G37" s="20" t="str">
        <x:v>P1-14</x:v>
      </x:c>
      <x:c r="H37" s="20" t="str">
        <x:v>Có phần trăm missing</x:v>
      </x:c>
      <x:c r="I37" s="23" t="str">
        <x:v>P0</x:v>
      </x:c>
      <x:c r="J37" s="23" t="str">
        <x:v>TODO</x:v>
      </x:c>
      <x:c r="K37" s="24" t="n">
        <x:f>IF(J37="DONE",1,IF(J37="REVIEW",0.8,IF(J37="DOING",0.5,0)))</x:f>
        <x:v>0</x:v>
      </x:c>
      <x:c r="L37" s="22"/>
      <x:c r="M37" s="22"/>
      <x:c r="N37" s="20" t="str"/>
    </x:row>
    <x:row r="38" ht="44" customHeight="1">
      <x:c r="A38" s="18" t="str">
        <x:v>P1-16</x:v>
      </x:c>
      <x:c r="B38" s="18" t="str">
        <x:v>Phase 1 - Profiling</x:v>
      </x:c>
      <x:c r="C38" s="18" t="str">
        <x:v>Profiling script</x:v>
      </x:c>
      <x:c r="D38" s="20" t="str">
        <x:v>Tính longest missing run</x:v>
      </x:c>
      <x:c r="E38" s="23" t="str">
        <x:v>A</x:v>
      </x:c>
      <x:c r="F38" s="23" t="str">
        <x:v>B</x:v>
      </x:c>
      <x:c r="G38" s="20" t="str">
        <x:v>P1-14</x:v>
      </x:c>
      <x:c r="H38" s="20" t="str">
        <x:v>Có longest gap từng biến</x:v>
      </x:c>
      <x:c r="I38" s="23" t="str">
        <x:v>P0</x:v>
      </x:c>
      <x:c r="J38" s="23" t="str">
        <x:v>TODO</x:v>
      </x:c>
      <x:c r="K38" s="24" t="n">
        <x:f>IF(J38="DONE",1,IF(J38="REVIEW",0.8,IF(J38="DOING",0.5,0)))</x:f>
        <x:v>0</x:v>
      </x:c>
      <x:c r="L38" s="22"/>
      <x:c r="M38" s="22"/>
      <x:c r="N38" s="20" t="str"/>
    </x:row>
    <x:row r="39" ht="44" customHeight="1">
      <x:c r="A39" s="18" t="str">
        <x:v>P1-17</x:v>
      </x:c>
      <x:c r="B39" s="18" t="str">
        <x:v>Phase 1 - Profiling</x:v>
      </x:c>
      <x:c r="C39" s="18" t="str">
        <x:v>Profiling script</x:v>
      </x:c>
      <x:c r="D39" s="20" t="str">
        <x:v>Tính min, max, mean, median</x:v>
      </x:c>
      <x:c r="E39" s="23" t="str">
        <x:v>A</x:v>
      </x:c>
      <x:c r="F39" s="23" t="str">
        <x:v>B</x:v>
      </x:c>
      <x:c r="G39" s="20" t="str">
        <x:v>P1-07</x:v>
      </x:c>
      <x:c r="H39" s="20" t="str">
        <x:v>Có descriptive statistics</x:v>
      </x:c>
      <x:c r="I39" s="23" t="str">
        <x:v>P1</x:v>
      </x:c>
      <x:c r="J39" s="23" t="str">
        <x:v>TODO</x:v>
      </x:c>
      <x:c r="K39" s="24" t="n">
        <x:f>IF(J39="DONE",1,IF(J39="REVIEW",0.8,IF(J39="DOING",0.5,0)))</x:f>
        <x:v>0</x:v>
      </x:c>
      <x:c r="L39" s="22"/>
      <x:c r="M39" s="22"/>
      <x:c r="N39" s="20" t="str"/>
    </x:row>
    <x:row r="40" ht="44" customHeight="1">
      <x:c r="A40" s="18" t="str">
        <x:v>P1-18</x:v>
      </x:c>
      <x:c r="B40" s="18" t="str">
        <x:v>Phase 1 - Profiling</x:v>
      </x:c>
      <x:c r="C40" s="18" t="str">
        <x:v>Profiling script</x:v>
      </x:c>
      <x:c r="D40" s="20" t="str">
        <x:v>Đếm negative values</x:v>
      </x:c>
      <x:c r="E40" s="23" t="str">
        <x:v>A</x:v>
      </x:c>
      <x:c r="F40" s="23" t="str">
        <x:v>B</x:v>
      </x:c>
      <x:c r="G40" s="20" t="str">
        <x:v>P1-07</x:v>
      </x:c>
      <x:c r="H40" s="20" t="str">
        <x:v>Có negative count từng biến</x:v>
      </x:c>
      <x:c r="I40" s="23" t="str">
        <x:v>P0</x:v>
      </x:c>
      <x:c r="J40" s="23" t="str">
        <x:v>TODO</x:v>
      </x:c>
      <x:c r="K40" s="24" t="n">
        <x:f>IF(J40="DONE",1,IF(J40="REVIEW",0.8,IF(J40="DOING",0.5,0)))</x:f>
        <x:v>0</x:v>
      </x:c>
      <x:c r="L40" s="22"/>
      <x:c r="M40" s="22"/>
      <x:c r="N40" s="20" t="str"/>
    </x:row>
    <x:row r="41" ht="44" customHeight="1">
      <x:c r="A41" s="18" t="str">
        <x:v>P1-19</x:v>
      </x:c>
      <x:c r="B41" s="18" t="str">
        <x:v>Phase 1 - Profiling</x:v>
      </x:c>
      <x:c r="C41" s="18" t="str">
        <x:v>Profiling script</x:v>
      </x:c>
      <x:c r="D41" s="20" t="str">
        <x:v>Cho script nhận folder thay vì 1 file</x:v>
      </x:c>
      <x:c r="E41" s="23" t="str">
        <x:v>A</x:v>
      </x:c>
      <x:c r="F41" s="23" t="str">
        <x:v>B</x:v>
      </x:c>
      <x:c r="G41" s="20" t="str">
        <x:v>P1-07 đến P1-18</x:v>
      </x:c>
      <x:c r="H41" s="20" t="str">
        <x:v>Script chạy tự động nhiều file</x:v>
      </x:c>
      <x:c r="I41" s="23" t="str">
        <x:v>P0</x:v>
      </x:c>
      <x:c r="J41" s="23" t="str">
        <x:v>TODO</x:v>
      </x:c>
      <x:c r="K41" s="24" t="n">
        <x:f>IF(J41="DONE",1,IF(J41="REVIEW",0.8,IF(J41="DOING",0.5,0)))</x:f>
        <x:v>0</x:v>
      </x:c>
      <x:c r="L41" s="22"/>
      <x:c r="M41" s="22"/>
      <x:c r="N41" s="20" t="str"/>
    </x:row>
    <x:row r="42" ht="44" customHeight="1">
      <x:c r="A42" s="18" t="str">
        <x:v>P1-20</x:v>
      </x:c>
      <x:c r="B42" s="18" t="str">
        <x:v>Phase 1 - Profiling</x:v>
      </x:c>
      <x:c r="C42" s="18" t="str">
        <x:v>Profiling script</x:v>
      </x:c>
      <x:c r="D42" s="20" t="str">
        <x:v>Chạy thử script với Aotizhongxin</x:v>
      </x:c>
      <x:c r="E42" s="23" t="str">
        <x:v>A</x:v>
      </x:c>
      <x:c r="F42" s="23" t="str">
        <x:v>B</x:v>
      </x:c>
      <x:c r="G42" s="20" t="str">
        <x:v>P1-19</x:v>
      </x:c>
      <x:c r="H42" s="20" t="str">
        <x:v>Script chạy hết không lỗi</x:v>
      </x:c>
      <x:c r="I42" s="23" t="str">
        <x:v>P0</x:v>
      </x:c>
      <x:c r="J42" s="23" t="str">
        <x:v>TODO</x:v>
      </x:c>
      <x:c r="K42" s="24" t="n">
        <x:f>IF(J42="DONE",1,IF(J42="REVIEW",0.8,IF(J42="DOING",0.5,0)))</x:f>
        <x:v>0</x:v>
      </x:c>
      <x:c r="L42" s="22"/>
      <x:c r="M42" s="22"/>
      <x:c r="N42" s="20" t="str"/>
    </x:row>
    <x:row r="43" ht="44" customHeight="1">
      <x:c r="A43" s="18" t="str">
        <x:v>P1-21</x:v>
      </x:c>
      <x:c r="B43" s="18" t="str">
        <x:v>Phase 1 - Profiling</x:v>
      </x:c>
      <x:c r="C43" s="18" t="str">
        <x:v>Profiling script</x:v>
      </x:c>
      <x:c r="D43" s="20" t="str">
        <x:v>Thành viên B tự chạy lại script</x:v>
      </x:c>
      <x:c r="E43" s="23" t="str">
        <x:v>B</x:v>
      </x:c>
      <x:c r="F43" s="23" t="str">
        <x:v>A</x:v>
      </x:c>
      <x:c r="G43" s="20" t="str">
        <x:v>P1-20</x:v>
      </x:c>
      <x:c r="H43" s="20" t="str">
        <x:v>Kết quả tái tạo được</x:v>
      </x:c>
      <x:c r="I43" s="23" t="str">
        <x:v>P1</x:v>
      </x:c>
      <x:c r="J43" s="23" t="str">
        <x:v>TODO</x:v>
      </x:c>
      <x:c r="K43" s="24" t="n">
        <x:f>IF(J43="DONE",1,IF(J43="REVIEW",0.8,IF(J43="DOING",0.5,0)))</x:f>
        <x:v>0</x:v>
      </x:c>
      <x:c r="L43" s="22"/>
      <x:c r="M43" s="22"/>
      <x:c r="N43" s="20" t="str"/>
    </x:row>
    <x:row r="44" ht="44" customHeight="1">
      <x:c r="A44" s="18" t="str">
        <x:v>P1-22</x:v>
      </x:c>
      <x:c r="B44" s="18" t="str">
        <x:v>Phase 1 - Profiling</x:v>
      </x:c>
      <x:c r="C44" s="18" t="str">
        <x:v>Profile 12 station</x:v>
      </x:c>
      <x:c r="D44" s="20" t="str">
        <x:v>Chạy profiling đủ 12 station</x:v>
      </x:c>
      <x:c r="E44" s="23" t="str">
        <x:v>A</x:v>
      </x:c>
      <x:c r="F44" s="23" t="str">
        <x:v>B</x:v>
      </x:c>
      <x:c r="G44" s="20" t="str">
        <x:v>P1-21</x:v>
      </x:c>
      <x:c r="H44" s="20" t="str">
        <x:v>12 station đều có output</x:v>
      </x:c>
      <x:c r="I44" s="23" t="str">
        <x:v>P0</x:v>
      </x:c>
      <x:c r="J44" s="23" t="str">
        <x:v>TODO</x:v>
      </x:c>
      <x:c r="K44" s="24" t="n">
        <x:f>IF(J44="DONE",1,IF(J44="REVIEW",0.8,IF(J44="DOING",0.5,0)))</x:f>
        <x:v>0</x:v>
      </x:c>
      <x:c r="L44" s="22"/>
      <x:c r="M44" s="22"/>
      <x:c r="N44" s="20" t="str"/>
    </x:row>
    <x:row r="45" ht="44" customHeight="1">
      <x:c r="A45" s="18" t="str">
        <x:v>P1-23</x:v>
      </x:c>
      <x:c r="B45" s="18" t="str">
        <x:v>Phase 1 - Profiling</x:v>
      </x:c>
      <x:c r="C45" s="18" t="str">
        <x:v>Profile 12 station</x:v>
      </x:c>
      <x:c r="D45" s="20" t="str">
        <x:v>Kiểm tra schema consistency</x:v>
      </x:c>
      <x:c r="E45" s="23" t="str">
        <x:v>A</x:v>
      </x:c>
      <x:c r="F45" s="23" t="str">
        <x:v>B</x:v>
      </x:c>
      <x:c r="G45" s="20" t="str">
        <x:v>P1-22</x:v>
      </x:c>
      <x:c r="H45" s="20" t="str">
        <x:v>Biết station nào khác schema</x:v>
      </x:c>
      <x:c r="I45" s="23" t="str">
        <x:v>P0</x:v>
      </x:c>
      <x:c r="J45" s="23" t="str">
        <x:v>TODO</x:v>
      </x:c>
      <x:c r="K45" s="24" t="n">
        <x:f>IF(J45="DONE",1,IF(J45="REVIEW",0.8,IF(J45="DOING",0.5,0)))</x:f>
        <x:v>0</x:v>
      </x:c>
      <x:c r="L45" s="22"/>
      <x:c r="M45" s="22"/>
      <x:c r="N45" s="20" t="str"/>
    </x:row>
    <x:row r="46" ht="44" customHeight="1">
      <x:c r="A46" s="18" t="str">
        <x:v>P1-24</x:v>
      </x:c>
      <x:c r="B46" s="18" t="str">
        <x:v>Phase 1 - Profiling</x:v>
      </x:c>
      <x:c r="C46" s="18" t="str">
        <x:v>Profile 12 station</x:v>
      </x:c>
      <x:c r="D46" s="20" t="str">
        <x:v>So sánh row count giữa station</x:v>
      </x:c>
      <x:c r="E46" s="23" t="str">
        <x:v>B</x:v>
      </x:c>
      <x:c r="F46" s="23" t="str">
        <x:v>A</x:v>
      </x:c>
      <x:c r="G46" s="20" t="str">
        <x:v>P1-22</x:v>
      </x:c>
      <x:c r="H46" s="20" t="str">
        <x:v>Có bảng so sánh</x:v>
      </x:c>
      <x:c r="I46" s="23" t="str">
        <x:v>P1</x:v>
      </x:c>
      <x:c r="J46" s="23" t="str">
        <x:v>TODO</x:v>
      </x:c>
      <x:c r="K46" s="24" t="n">
        <x:f>IF(J46="DONE",1,IF(J46="REVIEW",0.8,IF(J46="DOING",0.5,0)))</x:f>
        <x:v>0</x:v>
      </x:c>
      <x:c r="L46" s="22"/>
      <x:c r="M46" s="22"/>
      <x:c r="N46" s="20" t="str"/>
    </x:row>
    <x:row r="47" ht="44" customHeight="1">
      <x:c r="A47" s="18" t="str">
        <x:v>P1-25</x:v>
      </x:c>
      <x:c r="B47" s="18" t="str">
        <x:v>Phase 1 - Profiling</x:v>
      </x:c>
      <x:c r="C47" s="18" t="str">
        <x:v>Profile 12 station</x:v>
      </x:c>
      <x:c r="D47" s="20" t="str">
        <x:v>So sánh date range</x:v>
      </x:c>
      <x:c r="E47" s="23" t="str">
        <x:v>B</x:v>
      </x:c>
      <x:c r="F47" s="23" t="str">
        <x:v>A</x:v>
      </x:c>
      <x:c r="G47" s="20" t="str">
        <x:v>P1-22</x:v>
      </x:c>
      <x:c r="H47" s="20" t="str">
        <x:v>Có bảng start và end</x:v>
      </x:c>
      <x:c r="I47" s="23" t="str">
        <x:v>P1</x:v>
      </x:c>
      <x:c r="J47" s="23" t="str">
        <x:v>TODO</x:v>
      </x:c>
      <x:c r="K47" s="24" t="n">
        <x:f>IF(J47="DONE",1,IF(J47="REVIEW",0.8,IF(J47="DOING",0.5,0)))</x:f>
        <x:v>0</x:v>
      </x:c>
      <x:c r="L47" s="22"/>
      <x:c r="M47" s="22"/>
      <x:c r="N47" s="20" t="str"/>
    </x:row>
    <x:row r="48" ht="44" customHeight="1">
      <x:c r="A48" s="18" t="str">
        <x:v>P1-26</x:v>
      </x:c>
      <x:c r="B48" s="18" t="str">
        <x:v>Phase 1 - Profiling</x:v>
      </x:c>
      <x:c r="C48" s="18" t="str">
        <x:v>Profile 12 station</x:v>
      </x:c>
      <x:c r="D48" s="20" t="str">
        <x:v>So sánh timestamp continuity</x:v>
      </x:c>
      <x:c r="E48" s="23" t="str">
        <x:v>A</x:v>
      </x:c>
      <x:c r="F48" s="23" t="str">
        <x:v>B</x:v>
      </x:c>
      <x:c r="G48" s="20" t="str">
        <x:v>P1-22</x:v>
      </x:c>
      <x:c r="H48" s="20" t="str">
        <x:v>Biết station nào thiếu giờ</x:v>
      </x:c>
      <x:c r="I48" s="23" t="str">
        <x:v>P0</x:v>
      </x:c>
      <x:c r="J48" s="23" t="str">
        <x:v>TODO</x:v>
      </x:c>
      <x:c r="K48" s="24" t="n">
        <x:f>IF(J48="DONE",1,IF(J48="REVIEW",0.8,IF(J48="DOING",0.5,0)))</x:f>
        <x:v>0</x:v>
      </x:c>
      <x:c r="L48" s="22"/>
      <x:c r="M48" s="22"/>
      <x:c r="N48" s="20" t="str"/>
    </x:row>
    <x:row r="49" ht="44" customHeight="1">
      <x:c r="A49" s="18" t="str">
        <x:v>P1-27</x:v>
      </x:c>
      <x:c r="B49" s="18" t="str">
        <x:v>Phase 1 - Profiling</x:v>
      </x:c>
      <x:c r="C49" s="18" t="str">
        <x:v>Profile 12 station</x:v>
      </x:c>
      <x:c r="D49" s="20" t="str">
        <x:v>So sánh duplicate timestamp</x:v>
      </x:c>
      <x:c r="E49" s="23" t="str">
        <x:v>A</x:v>
      </x:c>
      <x:c r="F49" s="23" t="str">
        <x:v>B</x:v>
      </x:c>
      <x:c r="G49" s="20" t="str">
        <x:v>P1-22</x:v>
      </x:c>
      <x:c r="H49" s="20" t="str">
        <x:v>Biết station nào có duplicate</x:v>
      </x:c>
      <x:c r="I49" s="23" t="str">
        <x:v>P0</x:v>
      </x:c>
      <x:c r="J49" s="23" t="str">
        <x:v>TODO</x:v>
      </x:c>
      <x:c r="K49" s="24" t="n">
        <x:f>IF(J49="DONE",1,IF(J49="REVIEW",0.8,IF(J49="DOING",0.5,0)))</x:f>
        <x:v>0</x:v>
      </x:c>
      <x:c r="L49" s="22"/>
      <x:c r="M49" s="22"/>
      <x:c r="N49" s="20" t="str"/>
    </x:row>
    <x:row r="50" ht="44" customHeight="1">
      <x:c r="A50" s="18" t="str">
        <x:v>P1-28</x:v>
      </x:c>
      <x:c r="B50" s="18" t="str">
        <x:v>Phase 1 - Profiling</x:v>
      </x:c>
      <x:c r="C50" s="18" t="str">
        <x:v>Profile 12 station</x:v>
      </x:c>
      <x:c r="D50" s="20" t="str">
        <x:v>So sánh missing percentage giữa station</x:v>
      </x:c>
      <x:c r="E50" s="23" t="str">
        <x:v>B</x:v>
      </x:c>
      <x:c r="F50" s="23" t="str">
        <x:v>A</x:v>
      </x:c>
      <x:c r="G50" s="20" t="str">
        <x:v>P1-22</x:v>
      </x:c>
      <x:c r="H50" s="20" t="str">
        <x:v>Có missing summary</x:v>
      </x:c>
      <x:c r="I50" s="23" t="str">
        <x:v>P0</x:v>
      </x:c>
      <x:c r="J50" s="23" t="str">
        <x:v>TODO</x:v>
      </x:c>
      <x:c r="K50" s="24" t="n">
        <x:f>IF(J50="DONE",1,IF(J50="REVIEW",0.8,IF(J50="DOING",0.5,0)))</x:f>
        <x:v>0</x:v>
      </x:c>
      <x:c r="L50" s="22"/>
      <x:c r="M50" s="22"/>
      <x:c r="N50" s="20" t="str"/>
    </x:row>
    <x:row r="51" ht="44" customHeight="1">
      <x:c r="A51" s="18" t="str">
        <x:v>P1-29</x:v>
      </x:c>
      <x:c r="B51" s="18" t="str">
        <x:v>Phase 1 - Profiling</x:v>
      </x:c>
      <x:c r="C51" s="18" t="str">
        <x:v>Profile 12 station</x:v>
      </x:c>
      <x:c r="D51" s="20" t="str">
        <x:v>So sánh longest missing gap</x:v>
      </x:c>
      <x:c r="E51" s="23" t="str">
        <x:v>B</x:v>
      </x:c>
      <x:c r="F51" s="23" t="str">
        <x:v>A</x:v>
      </x:c>
      <x:c r="G51" s="20" t="str">
        <x:v>P1-22</x:v>
      </x:c>
      <x:c r="H51" s="20" t="str">
        <x:v>Có gap summary</x:v>
      </x:c>
      <x:c r="I51" s="23" t="str">
        <x:v>P0</x:v>
      </x:c>
      <x:c r="J51" s="23" t="str">
        <x:v>TODO</x:v>
      </x:c>
      <x:c r="K51" s="24" t="n">
        <x:f>IF(J51="DONE",1,IF(J51="REVIEW",0.8,IF(J51="DOING",0.5,0)))</x:f>
        <x:v>0</x:v>
      </x:c>
      <x:c r="L51" s="22"/>
      <x:c r="M51" s="22"/>
      <x:c r="N51" s="20" t="str"/>
    </x:row>
    <x:row r="52" ht="44" customHeight="1">
      <x:c r="A52" s="18" t="str">
        <x:v>P1-30</x:v>
      </x:c>
      <x:c r="B52" s="18" t="str">
        <x:v>Phase 1 - Profiling</x:v>
      </x:c>
      <x:c r="C52" s="18" t="str">
        <x:v>Profile 12 station</x:v>
      </x:c>
      <x:c r="D52" s="20" t="str">
        <x:v>So sánh distributions cơ bản</x:v>
      </x:c>
      <x:c r="E52" s="23" t="str">
        <x:v>B</x:v>
      </x:c>
      <x:c r="F52" s="23" t="str">
        <x:v>A</x:v>
      </x:c>
      <x:c r="G52" s="20" t="str">
        <x:v>P1-22</x:v>
      </x:c>
      <x:c r="H52" s="20" t="str">
        <x:v>Biết station có distribution bất thường</x:v>
      </x:c>
      <x:c r="I52" s="23" t="str">
        <x:v>P1</x:v>
      </x:c>
      <x:c r="J52" s="23" t="str">
        <x:v>TODO</x:v>
      </x:c>
      <x:c r="K52" s="24" t="n">
        <x:f>IF(J52="DONE",1,IF(J52="REVIEW",0.8,IF(J52="DOING",0.5,0)))</x:f>
        <x:v>0</x:v>
      </x:c>
      <x:c r="L52" s="22"/>
      <x:c r="M52" s="22"/>
      <x:c r="N52" s="20" t="str"/>
    </x:row>
    <x:row r="53" ht="44" customHeight="1">
      <x:c r="A53" s="18" t="str">
        <x:v>P1-31</x:v>
      </x:c>
      <x:c r="B53" s="18" t="str">
        <x:v>Phase 1 - Profiling</x:v>
      </x:c>
      <x:c r="C53" s="18" t="str">
        <x:v>Profile 12 station</x:v>
      </x:c>
      <x:c r="D53" s="20" t="str">
        <x:v>Tổng hợp extreme values</x:v>
      </x:c>
      <x:c r="E53" s="23" t="str">
        <x:v>B</x:v>
      </x:c>
      <x:c r="F53" s="23" t="str">
        <x:v>A</x:v>
      </x:c>
      <x:c r="G53" s="20" t="str">
        <x:v>P1-22</x:v>
      </x:c>
      <x:c r="H53" s="20" t="str">
        <x:v>Có min, max và extreme summary</x:v>
      </x:c>
      <x:c r="I53" s="23" t="str">
        <x:v>P1</x:v>
      </x:c>
      <x:c r="J53" s="23" t="str">
        <x:v>TODO</x:v>
      </x:c>
      <x:c r="K53" s="24" t="n">
        <x:f>IF(J53="DONE",1,IF(J53="REVIEW",0.8,IF(J53="DOING",0.5,0)))</x:f>
        <x:v>0</x:v>
      </x:c>
      <x:c r="L53" s="22"/>
      <x:c r="M53" s="22"/>
      <x:c r="N53" s="20" t="str"/>
    </x:row>
    <x:row r="54" ht="44" customHeight="1">
      <x:c r="A54" s="18" t="str">
        <x:v>P1-32</x:v>
      </x:c>
      <x:c r="B54" s="18" t="str">
        <x:v>Phase 1 - Profiling</x:v>
      </x:c>
      <x:c r="C54" s="18" t="str">
        <x:v>Profile 12 station</x:v>
      </x:c>
      <x:c r="D54" s="20" t="str">
        <x:v>Kiểm tra extreme đáng chú ý theo thời gian và trạm</x:v>
      </x:c>
      <x:c r="E54" s="23" t="str">
        <x:v>B</x:v>
      </x:c>
      <x:c r="F54" s="23" t="str">
        <x:v>A</x:v>
      </x:c>
      <x:c r="G54" s="20" t="str">
        <x:v>P1-31</x:v>
      </x:c>
      <x:c r="H54" s="20" t="str">
        <x:v>Có danh sách cần điều tra</x:v>
      </x:c>
      <x:c r="I54" s="23" t="str">
        <x:v>P1</x:v>
      </x:c>
      <x:c r="J54" s="23" t="str">
        <x:v>TODO</x:v>
      </x:c>
      <x:c r="K54" s="24" t="n">
        <x:f>IF(J54="DONE",1,IF(J54="REVIEW",0.8,IF(J54="DOING",0.5,0)))</x:f>
        <x:v>0</x:v>
      </x:c>
      <x:c r="L54" s="22"/>
      <x:c r="M54" s="22"/>
      <x:c r="N54" s="20" t="str"/>
    </x:row>
    <x:row r="55" ht="44" customHeight="1">
      <x:c r="A55" s="18" t="str">
        <x:v>P1-33</x:v>
      </x:c>
      <x:c r="B55" s="18" t="str">
        <x:v>Phase 1 - Profiling</x:v>
      </x:c>
      <x:c r="C55" s="18" t="str">
        <x:v>Profile 12 station</x:v>
      </x:c>
      <x:c r="D55" s="20" t="str">
        <x:v>Kiểm tra negative values toàn dataset</x:v>
      </x:c>
      <x:c r="E55" s="23" t="str">
        <x:v>A</x:v>
      </x:c>
      <x:c r="F55" s="23" t="str">
        <x:v>B</x:v>
      </x:c>
      <x:c r="G55" s="20" t="str">
        <x:v>P1-22</x:v>
      </x:c>
      <x:c r="H55" s="20" t="str">
        <x:v>Có bảng violations</x:v>
      </x:c>
      <x:c r="I55" s="23" t="str">
        <x:v>P0</x:v>
      </x:c>
      <x:c r="J55" s="23" t="str">
        <x:v>TODO</x:v>
      </x:c>
      <x:c r="K55" s="24" t="n">
        <x:f>IF(J55="DONE",1,IF(J55="REVIEW",0.8,IF(J55="DOING",0.5,0)))</x:f>
        <x:v>0</x:v>
      </x:c>
      <x:c r="L55" s="22"/>
      <x:c r="M55" s="22"/>
      <x:c r="N55" s="20" t="str"/>
    </x:row>
    <x:row r="56" ht="44" customHeight="1">
      <x:c r="A56" s="18" t="str">
        <x:v>P1-34</x:v>
      </x:c>
      <x:c r="B56" s="18" t="str">
        <x:v>Phase 1 - Profiling</x:v>
      </x:c>
      <x:c r="C56" s="18" t="str">
        <x:v>Artifact</x:v>
      </x:c>
      <x:c r="D56" s="20" t="str">
        <x:v>Sinh station_profile.csv</x:v>
      </x:c>
      <x:c r="E56" s="23" t="str">
        <x:v>A</x:v>
      </x:c>
      <x:c r="F56" s="23" t="str">
        <x:v>B</x:v>
      </x:c>
      <x:c r="G56" s="20" t="str">
        <x:v>P1-22 đến P1-27</x:v>
      </x:c>
      <x:c r="H56" s="20" t="str">
        <x:v>CSV tồn tại</x:v>
      </x:c>
      <x:c r="I56" s="23" t="str">
        <x:v>P0</x:v>
      </x:c>
      <x:c r="J56" s="23" t="str">
        <x:v>TODO</x:v>
      </x:c>
      <x:c r="K56" s="24" t="n">
        <x:f>IF(J56="DONE",1,IF(J56="REVIEW",0.8,IF(J56="DOING",0.5,0)))</x:f>
        <x:v>0</x:v>
      </x:c>
      <x:c r="L56" s="22"/>
      <x:c r="M56" s="22"/>
      <x:c r="N56" s="20" t="str"/>
    </x:row>
    <x:row r="57" ht="44" customHeight="1">
      <x:c r="A57" s="18" t="str">
        <x:v>P1-35</x:v>
      </x:c>
      <x:c r="B57" s="18" t="str">
        <x:v>Phase 1 - Profiling</x:v>
      </x:c>
      <x:c r="C57" s="18" t="str">
        <x:v>Artifact</x:v>
      </x:c>
      <x:c r="D57" s="20" t="str">
        <x:v>Sinh missing_summary.csv</x:v>
      </x:c>
      <x:c r="E57" s="23" t="str">
        <x:v>A</x:v>
      </x:c>
      <x:c r="F57" s="23" t="str">
        <x:v>B</x:v>
      </x:c>
      <x:c r="G57" s="20" t="str">
        <x:v>P1-28, P1-29</x:v>
      </x:c>
      <x:c r="H57" s="20" t="str">
        <x:v>CSV tồn tại</x:v>
      </x:c>
      <x:c r="I57" s="23" t="str">
        <x:v>P0</x:v>
      </x:c>
      <x:c r="J57" s="23" t="str">
        <x:v>TODO</x:v>
      </x:c>
      <x:c r="K57" s="24" t="n">
        <x:f>IF(J57="DONE",1,IF(J57="REVIEW",0.8,IF(J57="DOING",0.5,0)))</x:f>
        <x:v>0</x:v>
      </x:c>
      <x:c r="L57" s="22"/>
      <x:c r="M57" s="22"/>
      <x:c r="N57" s="20" t="str"/>
    </x:row>
    <x:row r="58" ht="44" customHeight="1">
      <x:c r="A58" s="18" t="str">
        <x:v>P1-36</x:v>
      </x:c>
      <x:c r="B58" s="18" t="str">
        <x:v>Phase 1 - Profiling</x:v>
      </x:c>
      <x:c r="C58" s="18" t="str">
        <x:v>Artifact</x:v>
      </x:c>
      <x:c r="D58" s="20" t="str">
        <x:v>Sinh extreme_value_summary.csv</x:v>
      </x:c>
      <x:c r="E58" s="23" t="str">
        <x:v>B</x:v>
      </x:c>
      <x:c r="F58" s="23" t="str">
        <x:v>A</x:v>
      </x:c>
      <x:c r="G58" s="20" t="str">
        <x:v>P1-31, P1-32</x:v>
      </x:c>
      <x:c r="H58" s="20" t="str">
        <x:v>CSV tồn tại</x:v>
      </x:c>
      <x:c r="I58" s="23" t="str">
        <x:v>P1</x:v>
      </x:c>
      <x:c r="J58" s="23" t="str">
        <x:v>TODO</x:v>
      </x:c>
      <x:c r="K58" s="24" t="n">
        <x:f>IF(J58="DONE",1,IF(J58="REVIEW",0.8,IF(J58="DOING",0.5,0)))</x:f>
        <x:v>0</x:v>
      </x:c>
      <x:c r="L58" s="22"/>
      <x:c r="M58" s="22"/>
      <x:c r="N58" s="20" t="str"/>
    </x:row>
    <x:row r="59" ht="44" customHeight="1">
      <x:c r="A59" s="18" t="str">
        <x:v>P1-37</x:v>
      </x:c>
      <x:c r="B59" s="18" t="str">
        <x:v>Phase 1 - Profiling</x:v>
      </x:c>
      <x:c r="C59" s="18" t="str">
        <x:v>Artifact</x:v>
      </x:c>
      <x:c r="D59" s="20" t="str">
        <x:v>Viết profiling_report.md</x:v>
      </x:c>
      <x:c r="E59" s="23" t="str">
        <x:v>B</x:v>
      </x:c>
      <x:c r="F59" s="23" t="str">
        <x:v>A</x:v>
      </x:c>
      <x:c r="G59" s="20" t="str">
        <x:v>P1-22 đến P1-36</x:v>
      </x:c>
      <x:c r="H59" s="20" t="str">
        <x:v>Báo cáo profiling tồn tại</x:v>
      </x:c>
      <x:c r="I59" s="23" t="str">
        <x:v>P0</x:v>
      </x:c>
      <x:c r="J59" s="23" t="str">
        <x:v>TODO</x:v>
      </x:c>
      <x:c r="K59" s="24" t="n">
        <x:f>IF(J59="DONE",1,IF(J59="REVIEW",0.8,IF(J59="DOING",0.5,0)))</x:f>
        <x:v>0</x:v>
      </x:c>
      <x:c r="L59" s="22"/>
      <x:c r="M59" s="22"/>
      <x:c r="N59" s="20" t="str"/>
    </x:row>
    <x:row r="60" ht="44" customHeight="1">
      <x:c r="A60" s="18" t="str">
        <x:v>P1-38</x:v>
      </x:c>
      <x:c r="B60" s="18" t="str">
        <x:v>Phase 1 - Profiling</x:v>
      </x:c>
      <x:c r="C60" s="18" t="str">
        <x:v>Artifact</x:v>
      </x:c>
      <x:c r="D60" s="20" t="str">
        <x:v>Thêm chart nếu thực sự hữu ích</x:v>
      </x:c>
      <x:c r="E60" s="23" t="str">
        <x:v>B</x:v>
      </x:c>
      <x:c r="F60" s="23" t="str">
        <x:v>A</x:v>
      </x:c>
      <x:c r="G60" s="20" t="str">
        <x:v>P1-30</x:v>
      </x:c>
      <x:c r="H60" s="20" t="str">
        <x:v>Chart phù hợp hoặc ghi rõ không cần</x:v>
      </x:c>
      <x:c r="I60" s="23" t="str">
        <x:v>P2</x:v>
      </x:c>
      <x:c r="J60" s="23" t="str">
        <x:v>TODO</x:v>
      </x:c>
      <x:c r="K60" s="24" t="n">
        <x:f>IF(J60="DONE",1,IF(J60="REVIEW",0.8,IF(J60="DOING",0.5,0)))</x:f>
        <x:v>0</x:v>
      </x:c>
      <x:c r="L60" s="22"/>
      <x:c r="M60" s="22"/>
      <x:c r="N60" s="20" t="str"/>
    </x:row>
    <x:row r="61" ht="44" customHeight="1">
      <x:c r="A61" s="18" t="str">
        <x:v>P1-39</x:v>
      </x:c>
      <x:c r="B61" s="18" t="str">
        <x:v>Phase 1 - Profiling</x:v>
      </x:c>
      <x:c r="C61" s="18" t="str">
        <x:v>Decision Gate</x:v>
      </x:c>
      <x:c r="D61" s="20" t="str">
        <x:v>Xác nhận grain có thực sự là station + hour</x:v>
      </x:c>
      <x:c r="E61" s="23" t="str">
        <x:v>A+B</x:v>
      </x:c>
      <x:c r="F61" s="23" t="str">
        <x:v>A+B</x:v>
      </x:c>
      <x:c r="G61" s="20" t="str">
        <x:v>P1-22 đến P1-38</x:v>
      </x:c>
      <x:c r="H61" s="20" t="str">
        <x:v>Quyết định được ghi lại</x:v>
      </x:c>
      <x:c r="I61" s="23" t="str">
        <x:v>P0</x:v>
      </x:c>
      <x:c r="J61" s="23" t="str">
        <x:v>TODO</x:v>
      </x:c>
      <x:c r="K61" s="24" t="n">
        <x:f>IF(J61="DONE",1,IF(J61="REVIEW",0.8,IF(J61="DOING",0.5,0)))</x:f>
        <x:v>0</x:v>
      </x:c>
      <x:c r="L61" s="22"/>
      <x:c r="M61" s="22"/>
      <x:c r="N61" s="20" t="str"/>
    </x:row>
    <x:row r="62" ht="44" customHeight="1">
      <x:c r="A62" s="18" t="str">
        <x:v>P1-40</x:v>
      </x:c>
      <x:c r="B62" s="18" t="str">
        <x:v>Phase 1 - Profiling</x:v>
      </x:c>
      <x:c r="C62" s="18" t="str">
        <x:v>Decision Gate</x:v>
      </x:c>
      <x:c r="D62" s="20" t="str">
        <x:v>Xác nhận 12 station có cùng timeline không</x:v>
      </x:c>
      <x:c r="E62" s="23" t="str">
        <x:v>A+B</x:v>
      </x:c>
      <x:c r="F62" s="23" t="str">
        <x:v>A+B</x:v>
      </x:c>
      <x:c r="G62" s="20" t="str">
        <x:v>P1-22 đến P1-38</x:v>
      </x:c>
      <x:c r="H62" s="20" t="str">
        <x:v>Kết luận được ghi lại</x:v>
      </x:c>
      <x:c r="I62" s="23" t="str">
        <x:v>P0</x:v>
      </x:c>
      <x:c r="J62" s="23" t="str">
        <x:v>TODO</x:v>
      </x:c>
      <x:c r="K62" s="24" t="n">
        <x:f>IF(J62="DONE",1,IF(J62="REVIEW",0.8,IF(J62="DOING",0.5,0)))</x:f>
        <x:v>0</x:v>
      </x:c>
      <x:c r="L62" s="22"/>
      <x:c r="M62" s="22"/>
      <x:c r="N62" s="20" t="str"/>
    </x:row>
    <x:row r="63" ht="44" customHeight="1">
      <x:c r="A63" s="18" t="str">
        <x:v>P1-41</x:v>
      </x:c>
      <x:c r="B63" s="18" t="str">
        <x:v>Phase 1 - Profiling</x:v>
      </x:c>
      <x:c r="C63" s="18" t="str">
        <x:v>Decision Gate</x:v>
      </x:c>
      <x:c r="D63" s="20" t="str">
        <x:v>Xác định station có chất lượng khác biệt rõ</x:v>
      </x:c>
      <x:c r="E63" s="23" t="str">
        <x:v>A+B</x:v>
      </x:c>
      <x:c r="F63" s="23" t="str">
        <x:v>A+B</x:v>
      </x:c>
      <x:c r="G63" s="20" t="str">
        <x:v>P1-22 đến P1-38</x:v>
      </x:c>
      <x:c r="H63" s="20" t="str">
        <x:v>Danh sách hoặc kết luận không có</x:v>
      </x:c>
      <x:c r="I63" s="23" t="str">
        <x:v>P0</x:v>
      </x:c>
      <x:c r="J63" s="23" t="str">
        <x:v>TODO</x:v>
      </x:c>
      <x:c r="K63" s="24" t="n">
        <x:f>IF(J63="DONE",1,IF(J63="REVIEW",0.8,IF(J63="DOING",0.5,0)))</x:f>
        <x:v>0</x:v>
      </x:c>
      <x:c r="L63" s="22"/>
      <x:c r="M63" s="22"/>
      <x:c r="N63" s="20" t="str"/>
    </x:row>
    <x:row r="64" ht="44" customHeight="1">
      <x:c r="A64" s="18" t="str">
        <x:v>P1-42</x:v>
      </x:c>
      <x:c r="B64" s="18" t="str">
        <x:v>Phase 1 - Profiling</x:v>
      </x:c>
      <x:c r="C64" s="18" t="str">
        <x:v>Decision Gate</x:v>
      </x:c>
      <x:c r="D64" s="20" t="str">
        <x:v>Phân loại missing: single point hay long gap</x:v>
      </x:c>
      <x:c r="E64" s="23" t="str">
        <x:v>A+B</x:v>
      </x:c>
      <x:c r="F64" s="23" t="str">
        <x:v>A+B</x:v>
      </x:c>
      <x:c r="G64" s="20" t="str">
        <x:v>P1-28, P1-29</x:v>
      </x:c>
      <x:c r="H64" s="20" t="str">
        <x:v>Kết luận được ghi lại</x:v>
      </x:c>
      <x:c r="I64" s="23" t="str">
        <x:v>P0</x:v>
      </x:c>
      <x:c r="J64" s="23" t="str">
        <x:v>TODO</x:v>
      </x:c>
      <x:c r="K64" s="24" t="n">
        <x:f>IF(J64="DONE",1,IF(J64="REVIEW",0.8,IF(J64="DOING",0.5,0)))</x:f>
        <x:v>0</x:v>
      </x:c>
      <x:c r="L64" s="22"/>
      <x:c r="M64" s="22"/>
      <x:c r="N64" s="20" t="str"/>
    </x:row>
    <x:row r="65" ht="44" customHeight="1">
      <x:c r="A65" s="18" t="str">
        <x:v>P1-43</x:v>
      </x:c>
      <x:c r="B65" s="18" t="str">
        <x:v>Phase 1 - Profiling</x:v>
      </x:c>
      <x:c r="C65" s="18" t="str">
        <x:v>Decision Gate</x:v>
      </x:c>
      <x:c r="D65" s="20" t="str">
        <x:v>Xác định biến có long gap đáng chú ý</x:v>
      </x:c>
      <x:c r="E65" s="23" t="str">
        <x:v>A+B</x:v>
      </x:c>
      <x:c r="F65" s="23" t="str">
        <x:v>A+B</x:v>
      </x:c>
      <x:c r="G65" s="20" t="str">
        <x:v>P1-29</x:v>
      </x:c>
      <x:c r="H65" s="20" t="str">
        <x:v>Danh sách biến và station</x:v>
      </x:c>
      <x:c r="I65" s="23" t="str">
        <x:v>P0</x:v>
      </x:c>
      <x:c r="J65" s="23" t="str">
        <x:v>TODO</x:v>
      </x:c>
      <x:c r="K65" s="24" t="n">
        <x:f>IF(J65="DONE",1,IF(J65="REVIEW",0.8,IF(J65="DOING",0.5,0)))</x:f>
        <x:v>0</x:v>
      </x:c>
      <x:c r="L65" s="22"/>
      <x:c r="M65" s="22"/>
      <x:c r="N65" s="20" t="str"/>
    </x:row>
    <x:row r="66" ht="44" customHeight="1">
      <x:c r="A66" s="18" t="str">
        <x:v>P1-44</x:v>
      </x:c>
      <x:c r="B66" s="18" t="str">
        <x:v>Phase 1 - Profiling</x:v>
      </x:c>
      <x:c r="C66" s="18" t="str">
        <x:v>Decision Gate</x:v>
      </x:c>
      <x:c r="D66" s="20" t="str">
        <x:v>Xác định extreme values cần điều tra thêm</x:v>
      </x:c>
      <x:c r="E66" s="23" t="str">
        <x:v>A+B</x:v>
      </x:c>
      <x:c r="F66" s="23" t="str">
        <x:v>A+B</x:v>
      </x:c>
      <x:c r="G66" s="20" t="str">
        <x:v>P1-31, P1-32</x:v>
      </x:c>
      <x:c r="H66" s="20" t="str">
        <x:v>Danh sách được ghi lại</x:v>
      </x:c>
      <x:c r="I66" s="23" t="str">
        <x:v>P1</x:v>
      </x:c>
      <x:c r="J66" s="23" t="str">
        <x:v>TODO</x:v>
      </x:c>
      <x:c r="K66" s="24" t="n">
        <x:f>IF(J66="DONE",1,IF(J66="REVIEW",0.8,IF(J66="DOING",0.5,0)))</x:f>
        <x:v>0</x:v>
      </x:c>
      <x:c r="L66" s="22"/>
      <x:c r="M66" s="22"/>
      <x:c r="N66" s="20" t="str"/>
    </x:row>
    <x:row r="67" ht="44" customHeight="1">
      <x:c r="A67" s="18" t="str">
        <x:v>P1-45</x:v>
      </x:c>
      <x:c r="B67" s="18" t="str">
        <x:v>Phase 1 - Profiling</x:v>
      </x:c>
      <x:c r="C67" s="18" t="str">
        <x:v>Decision Gate</x:v>
      </x:c>
      <x:c r="D67" s="20" t="str">
        <x:v>Xác nhận có duplicate thật không</x:v>
      </x:c>
      <x:c r="E67" s="23" t="str">
        <x:v>A+B</x:v>
      </x:c>
      <x:c r="F67" s="23" t="str">
        <x:v>A+B</x:v>
      </x:c>
      <x:c r="G67" s="20" t="str">
        <x:v>P1-27</x:v>
      </x:c>
      <x:c r="H67" s="20" t="str">
        <x:v>Kết luận được ghi lại</x:v>
      </x:c>
      <x:c r="I67" s="23" t="str">
        <x:v>P0</x:v>
      </x:c>
      <x:c r="J67" s="23" t="str">
        <x:v>TODO</x:v>
      </x:c>
      <x:c r="K67" s="24" t="n">
        <x:f>IF(J67="DONE",1,IF(J67="REVIEW",0.8,IF(J67="DOING",0.5,0)))</x:f>
        <x:v>0</x:v>
      </x:c>
      <x:c r="L67" s="22"/>
      <x:c r="M67" s="22"/>
      <x:c r="N67" s="20" t="str"/>
    </x:row>
    <x:row r="68" ht="44" customHeight="1">
      <x:c r="A68" s="18" t="str">
        <x:v>P1-46</x:v>
      </x:c>
      <x:c r="B68" s="18" t="str">
        <x:v>Phase 1 - Profiling</x:v>
      </x:c>
      <x:c r="C68" s="18" t="str">
        <x:v>Decision Gate</x:v>
      </x:c>
      <x:c r="D68" s="20" t="str">
        <x:v>Xác nhận negative hoặc invalid physical values</x:v>
      </x:c>
      <x:c r="E68" s="23" t="str">
        <x:v>A+B</x:v>
      </x:c>
      <x:c r="F68" s="23" t="str">
        <x:v>A+B</x:v>
      </x:c>
      <x:c r="G68" s="20" t="str">
        <x:v>P1-33</x:v>
      </x:c>
      <x:c r="H68" s="20" t="str">
        <x:v>Kết luận được ghi lại</x:v>
      </x:c>
      <x:c r="I68" s="23" t="str">
        <x:v>P0</x:v>
      </x:c>
      <x:c r="J68" s="23" t="str">
        <x:v>TODO</x:v>
      </x:c>
      <x:c r="K68" s="24" t="n">
        <x:f>IF(J68="DONE",1,IF(J68="REVIEW",0.8,IF(J68="DOING",0.5,0)))</x:f>
        <x:v>0</x:v>
      </x:c>
      <x:c r="L68" s="22"/>
      <x:c r="M68" s="22"/>
      <x:c r="N68" s="20" t="str"/>
    </x:row>
    <x:row r="69" ht="44" customHeight="1">
      <x:c r="A69" s="18" t="str">
        <x:v>P1-47</x:v>
      </x:c>
      <x:c r="B69" s="18" t="str">
        <x:v>Phase 1 - Profiling</x:v>
      </x:c>
      <x:c r="C69" s="18" t="str">
        <x:v>Decision Gate</x:v>
      </x:c>
      <x:c r="D69" s="20" t="str">
        <x:v>Quyết định có cần rule riêng theo station không</x:v>
      </x:c>
      <x:c r="E69" s="23" t="str">
        <x:v>A+B</x:v>
      </x:c>
      <x:c r="F69" s="23" t="str">
        <x:v>A+B</x:v>
      </x:c>
      <x:c r="G69" s="20" t="str">
        <x:v>P1-39 đến P1-46</x:v>
      </x:c>
      <x:c r="H69" s="20" t="str">
        <x:v>Quyết định được ghi lại</x:v>
      </x:c>
      <x:c r="I69" s="23" t="str">
        <x:v>P0</x:v>
      </x:c>
      <x:c r="J69" s="23" t="str">
        <x:v>TODO</x:v>
      </x:c>
      <x:c r="K69" s="24" t="n">
        <x:f>IF(J69="DONE",1,IF(J69="REVIEW",0.8,IF(J69="DOING",0.5,0)))</x:f>
        <x:v>0</x:v>
      </x:c>
      <x:c r="L69" s="22"/>
      <x:c r="M69" s="22"/>
      <x:c r="N69" s="20" t="str"/>
    </x:row>
    <x:row r="70" ht="44" customHeight="1">
      <x:c r="A70" s="18" t="str">
        <x:v>P1-48</x:v>
      </x:c>
      <x:c r="B70" s="18" t="str">
        <x:v>Phase 1 - Profiling</x:v>
      </x:c>
      <x:c r="C70" s="18" t="str">
        <x:v>Cập nhật tài liệu</x:v>
      </x:c>
      <x:c r="D70" s="20" t="str">
        <x:v>Cập nhật kết quả 12 station vào DATA_GUIDE.md</x:v>
      </x:c>
      <x:c r="E70" s="23" t="str">
        <x:v>B</x:v>
      </x:c>
      <x:c r="F70" s="23" t="str">
        <x:v>A</x:v>
      </x:c>
      <x:c r="G70" s="20" t="str">
        <x:v>P1-39 đến P1-47</x:v>
      </x:c>
      <x:c r="H70" s="20" t="str">
        <x:v>DATA_GUIDE được cập nhật</x:v>
      </x:c>
      <x:c r="I70" s="23" t="str">
        <x:v>P0</x:v>
      </x:c>
      <x:c r="J70" s="23" t="str">
        <x:v>TODO</x:v>
      </x:c>
      <x:c r="K70" s="24" t="n">
        <x:f>IF(J70="DONE",1,IF(J70="REVIEW",0.8,IF(J70="DOING",0.5,0)))</x:f>
        <x:v>0</x:v>
      </x:c>
      <x:c r="L70" s="22"/>
      <x:c r="M70" s="22"/>
      <x:c r="N70" s="20" t="str"/>
    </x:row>
    <x:row r="71" ht="44" customHeight="1">
      <x:c r="A71" s="18" t="str">
        <x:v>P1-49</x:v>
      </x:c>
      <x:c r="B71" s="18" t="str">
        <x:v>Phase 1 - Profiling</x:v>
      </x:c>
      <x:c r="C71" s="18" t="str">
        <x:v>Cập nhật tài liệu</x:v>
      </x:c>
      <x:c r="D71" s="20" t="str">
        <x:v>Ghi assumption được xác nhận hoặc bác bỏ</x:v>
      </x:c>
      <x:c r="E71" s="23" t="str">
        <x:v>B</x:v>
      </x:c>
      <x:c r="F71" s="23" t="str">
        <x:v>A</x:v>
      </x:c>
      <x:c r="G71" s="20" t="str">
        <x:v>P1-48</x:v>
      </x:c>
      <x:c r="H71" s="20" t="str">
        <x:v>Decision rõ và truy vết được</x:v>
      </x:c>
      <x:c r="I71" s="23" t="str">
        <x:v>P1</x:v>
      </x:c>
      <x:c r="J71" s="23" t="str">
        <x:v>TODO</x:v>
      </x:c>
      <x:c r="K71" s="24" t="n">
        <x:f>IF(J71="DONE",1,IF(J71="REVIEW",0.8,IF(J71="DOING",0.5,0)))</x:f>
        <x:v>0</x:v>
      </x:c>
      <x:c r="L71" s="22"/>
      <x:c r="M71" s="22"/>
      <x:c r="N71" s="20" t="str"/>
    </x:row>
    <x:row r="72" ht="44" customHeight="1">
      <x:c r="A72" s="18" t="str">
        <x:v>P1-50</x:v>
      </x:c>
      <x:c r="B72" s="18" t="str">
        <x:v>Phase 1 - Profiling</x:v>
      </x:c>
      <x:c r="C72" s="18" t="str">
        <x:v>Cập nhật tài liệu</x:v>
      </x:c>
      <x:c r="D72" s="20" t="str">
        <x:v>Cập nhật PROGRESS.md</x:v>
      </x:c>
      <x:c r="E72" s="23" t="str">
        <x:v>A</x:v>
      </x:c>
      <x:c r="F72" s="23" t="str">
        <x:v>B</x:v>
      </x:c>
      <x:c r="G72" s="20" t="str">
        <x:v>P1-48, P1-49</x:v>
      </x:c>
      <x:c r="H72" s="20" t="str">
        <x:v>Có checkpoint Phase 1</x:v>
      </x:c>
      <x:c r="I72" s="23" t="str">
        <x:v>P1</x:v>
      </x:c>
      <x:c r="J72" s="23" t="str">
        <x:v>TODO</x:v>
      </x:c>
      <x:c r="K72" s="24" t="n">
        <x:f>IF(J72="DONE",1,IF(J72="REVIEW",0.8,IF(J72="DOING",0.5,0)))</x:f>
        <x:v>0</x:v>
      </x:c>
      <x:c r="L72" s="22"/>
      <x:c r="M72" s="22"/>
      <x:c r="N72" s="20" t="str"/>
    </x:row>
    <x:row r="73" ht="44" customHeight="1">
      <x:c r="A73" s="18" t="str">
        <x:v>P1-51</x:v>
      </x:c>
      <x:c r="B73" s="18" t="str">
        <x:v>Phase 1 - Profiling</x:v>
      </x:c>
      <x:c r="C73" s="18" t="str">
        <x:v>Git workflow</x:v>
      </x:c>
      <x:c r="D73" s="20" t="str">
        <x:v>Commit profiling code và artifact phù hợp</x:v>
      </x:c>
      <x:c r="E73" s="23" t="str">
        <x:v>A</x:v>
      </x:c>
      <x:c r="F73" s="23" t="str">
        <x:v>B</x:v>
      </x:c>
      <x:c r="G73" s="20" t="str">
        <x:v>P1-50</x:v>
      </x:c>
      <x:c r="H73" s="20" t="str">
        <x:v>Git history rõ ràng</x:v>
      </x:c>
      <x:c r="I73" s="23" t="str">
        <x:v>P0</x:v>
      </x:c>
      <x:c r="J73" s="23" t="str">
        <x:v>TODO</x:v>
      </x:c>
      <x:c r="K73" s="24" t="n">
        <x:f>IF(J73="DONE",1,IF(J73="REVIEW",0.8,IF(J73="DOING",0.5,0)))</x:f>
        <x:v>0</x:v>
      </x:c>
      <x:c r="L73" s="22"/>
      <x:c r="M73" s="22"/>
      <x:c r="N73" s="20" t="str"/>
    </x:row>
    <x:row r="74" ht="44" customHeight="1">
      <x:c r="A74" s="18" t="str">
        <x:v>P1-52</x:v>
      </x:c>
      <x:c r="B74" s="18" t="str">
        <x:v>Phase 1 - Profiling</x:v>
      </x:c>
      <x:c r="C74" s="18" t="str">
        <x:v>Git workflow</x:v>
      </x:c>
      <x:c r="D74" s="20" t="str">
        <x:v>Merge Phase 1 vào main</x:v>
      </x:c>
      <x:c r="E74" s="23" t="str">
        <x:v>A+B</x:v>
      </x:c>
      <x:c r="F74" s="23" t="str">
        <x:v>A+B</x:v>
      </x:c>
      <x:c r="G74" s="20" t="str">
        <x:v>P1-51</x:v>
      </x:c>
      <x:c r="H74" s="20" t="str">
        <x:v>Main ổn định; Phase 1 hoàn tất</x:v>
      </x:c>
      <x:c r="I74" s="23" t="str">
        <x:v>P0</x:v>
      </x:c>
      <x:c r="J74" s="23" t="str">
        <x:v>TODO</x:v>
      </x:c>
      <x:c r="K74" s="24" t="n">
        <x:f>IF(J74="DONE",1,IF(J74="REVIEW",0.8,IF(J74="DOING",0.5,0)))</x:f>
        <x:v>0</x:v>
      </x:c>
      <x:c r="L74" s="22"/>
      <x:c r="M74" s="22"/>
      <x:c r="N74" s="20" t="str"/>
    </x:row>
    <x:row r="75" ht="44" customHeight="1">
      <x:c r="A75" s="18" t="str">
        <x:v>P2-01</x:v>
      </x:c>
      <x:c r="B75" s="18" t="str">
        <x:v>Phase 2 - Infrastructure</x:v>
      </x:c>
      <x:c r="C75" s="18" t="str">
        <x:v>Điều kiện đầu vào</x:v>
      </x:c>
      <x:c r="D75" s="37" t="str">
        <x:v>Xác nhận Phase 1 đã qua Decision Gate</x:v>
      </x:c>
      <x:c r="E75" s="38" t="str">
        <x:v>A+B</x:v>
      </x:c>
      <x:c r="F75" s="38" t="str">
        <x:v>A+B</x:v>
      </x:c>
      <x:c r="G75" s="37" t="str">
        <x:v>P1-52</x:v>
      </x:c>
      <x:c r="H75" s="37" t="str">
        <x:v>Phase 1 DONE và các quyết định đã ghi lại</x:v>
      </x:c>
      <x:c r="I75" s="38" t="str">
        <x:v>P0</x:v>
      </x:c>
      <x:c r="J75" s="38" t="str">
        <x:v>TODO</x:v>
      </x:c>
      <x:c r="K75" s="39" t="n">
        <x:f>IF(J75="DONE",1,IF(J75="REVIEW",0.8,IF(J75="DOING",0.5,0)))</x:f>
        <x:v>0</x:v>
      </x:c>
      <x:c r="L75" s="40"/>
      <x:c r="M75" s="40"/>
      <x:c r="N75" s="37" t="str"/>
    </x:row>
    <x:row r="76" ht="44" customHeight="1">
      <x:c r="A76" s="18" t="str">
        <x:v>P2-02</x:v>
      </x:c>
      <x:c r="B76" s="18" t="str">
        <x:v>Phase 2 - Infrastructure</x:v>
      </x:c>
      <x:c r="C76" s="18" t="str">
        <x:v>Chuẩn bị môi trường</x:v>
      </x:c>
      <x:c r="D76" s="37" t="str">
        <x:v>Ghi nhận phiên bản Docker Desktop và Docker Compose</x:v>
      </x:c>
      <x:c r="E76" s="38" t="str">
        <x:v>A</x:v>
      </x:c>
      <x:c r="F76" s="38" t="str">
        <x:v>B</x:v>
      </x:c>
      <x:c r="G76" s="37" t="str">
        <x:v>P2-01</x:v>
      </x:c>
      <x:c r="H76" s="37" t="str">
        <x:v>Phiên bản được ghi trong README hoặc PROGRESS</x:v>
      </x:c>
      <x:c r="I76" s="38" t="str">
        <x:v>P1</x:v>
      </x:c>
      <x:c r="J76" s="38" t="str">
        <x:v>TODO</x:v>
      </x:c>
      <x:c r="K76" s="39" t="n">
        <x:f>IF(J76="DONE",1,IF(J76="REVIEW",0.8,IF(J76="DOING",0.5,0)))</x:f>
        <x:v>0</x:v>
      </x:c>
      <x:c r="L76" s="40"/>
      <x:c r="M76" s="40"/>
      <x:c r="N76" s="37" t="str"/>
    </x:row>
    <x:row r="77" ht="44" customHeight="1">
      <x:c r="A77" s="18" t="str">
        <x:v>P2-03</x:v>
      </x:c>
      <x:c r="B77" s="18" t="str">
        <x:v>Phase 2 - Infrastructure</x:v>
      </x:c>
      <x:c r="C77" s="18" t="str">
        <x:v>Cấu trúc cấu hình</x:v>
      </x:c>
      <x:c r="D77" s="37" t="str">
        <x:v>Tạo thư mục config, scripts và volume mount cần thiết</x:v>
      </x:c>
      <x:c r="E77" s="38" t="str">
        <x:v>A</x:v>
      </x:c>
      <x:c r="F77" s="38" t="str">
        <x:v>B</x:v>
      </x:c>
      <x:c r="G77" s="37" t="str">
        <x:v>P2-01</x:v>
      </x:c>
      <x:c r="H77" s="37" t="str">
        <x:v>Cấu trúc thư mục khớp docker-compose</x:v>
      </x:c>
      <x:c r="I77" s="38" t="str">
        <x:v>P0</x:v>
      </x:c>
      <x:c r="J77" s="38" t="str">
        <x:v>TODO</x:v>
      </x:c>
      <x:c r="K77" s="39" t="n">
        <x:f>IF(J77="DONE",1,IF(J77="REVIEW",0.8,IF(J77="DOING",0.5,0)))</x:f>
        <x:v>0</x:v>
      </x:c>
      <x:c r="L77" s="40"/>
      <x:c r="M77" s="40"/>
      <x:c r="N77" s="37" t="str"/>
    </x:row>
    <x:row r="78" ht="44" customHeight="1">
      <x:c r="A78" s="18" t="str">
        <x:v>P2-04</x:v>
      </x:c>
      <x:c r="B78" s="18" t="str">
        <x:v>Phase 2 - Infrastructure</x:v>
      </x:c>
      <x:c r="C78" s="18" t="str">
        <x:v>Cấu hình môi trường</x:v>
      </x:c>
      <x:c r="D78" s="37" t="str">
        <x:v>Hoàn thiện .env.example cho PostgreSQL, MinIO và Airflow</x:v>
      </x:c>
      <x:c r="E78" s="38" t="str">
        <x:v>A</x:v>
      </x:c>
      <x:c r="F78" s="38" t="str">
        <x:v>B</x:v>
      </x:c>
      <x:c r="G78" s="37" t="str">
        <x:v>P0-07, P2-03</x:v>
      </x:c>
      <x:c r="H78" s="37" t="str">
        <x:v>Đủ biến cần thiết và không chứa secret thật</x:v>
      </x:c>
      <x:c r="I78" s="38" t="str">
        <x:v>P0</x:v>
      </x:c>
      <x:c r="J78" s="38" t="str">
        <x:v>TODO</x:v>
      </x:c>
      <x:c r="K78" s="39" t="n">
        <x:f>IF(J78="DONE",1,IF(J78="REVIEW",0.8,IF(J78="DOING",0.5,0)))</x:f>
        <x:v>0</x:v>
      </x:c>
      <x:c r="L78" s="40"/>
      <x:c r="M78" s="40"/>
      <x:c r="N78" s="37" t="str"/>
    </x:row>
    <x:row r="79" ht="44" customHeight="1">
      <x:c r="A79" s="18" t="str">
        <x:v>P2-05</x:v>
      </x:c>
      <x:c r="B79" s="18" t="str">
        <x:v>Phase 2 - Infrastructure</x:v>
      </x:c>
      <x:c r="C79" s="18" t="str">
        <x:v>Docker network</x:v>
      </x:c>
      <x:c r="D79" s="37" t="str">
        <x:v>Khai báo air-quality-network trong Docker Compose</x:v>
      </x:c>
      <x:c r="E79" s="38" t="str">
        <x:v>A</x:v>
      </x:c>
      <x:c r="F79" s="38" t="str">
        <x:v>B</x:v>
      </x:c>
      <x:c r="G79" s="37" t="str">
        <x:v>P2-03</x:v>
      </x:c>
      <x:c r="H79" s="37" t="str">
        <x:v>Các service dùng chung một network</x:v>
      </x:c>
      <x:c r="I79" s="38" t="str">
        <x:v>P0</x:v>
      </x:c>
      <x:c r="J79" s="38" t="str">
        <x:v>TODO</x:v>
      </x:c>
      <x:c r="K79" s="39" t="n">
        <x:f>IF(J79="DONE",1,IF(J79="REVIEW",0.8,IF(J79="DOING",0.5,0)))</x:f>
        <x:v>0</x:v>
      </x:c>
      <x:c r="L79" s="40"/>
      <x:c r="M79" s="40"/>
      <x:c r="N79" s="37" t="str"/>
    </x:row>
    <x:row r="80" ht="44" customHeight="1">
      <x:c r="A80" s="18" t="str">
        <x:v>P2-06</x:v>
      </x:c>
      <x:c r="B80" s="18" t="str">
        <x:v>Phase 2 - Infrastructure</x:v>
      </x:c>
      <x:c r="C80" s="18" t="str">
        <x:v>PostgreSQL</x:v>
      </x:c>
      <x:c r="D80" s="37" t="str">
        <x:v>Khai báo service postgres</x:v>
      </x:c>
      <x:c r="E80" s="38" t="str">
        <x:v>A</x:v>
      </x:c>
      <x:c r="F80" s="38" t="str">
        <x:v>B</x:v>
      </x:c>
      <x:c r="G80" s="37" t="str">
        <x:v>P2-04, P2-05</x:v>
      </x:c>
      <x:c r="H80" s="37" t="str">
        <x:v>Container nhận đúng env và port mapping</x:v>
      </x:c>
      <x:c r="I80" s="38" t="str">
        <x:v>P0</x:v>
      </x:c>
      <x:c r="J80" s="38" t="str">
        <x:v>TODO</x:v>
      </x:c>
      <x:c r="K80" s="39" t="n">
        <x:f>IF(J80="DONE",1,IF(J80="REVIEW",0.8,IF(J80="DOING",0.5,0)))</x:f>
        <x:v>0</x:v>
      </x:c>
      <x:c r="L80" s="40"/>
      <x:c r="M80" s="40"/>
      <x:c r="N80" s="37" t="str"/>
    </x:row>
    <x:row r="81" ht="44" customHeight="1">
      <x:c r="A81" s="18" t="str">
        <x:v>P2-07</x:v>
      </x:c>
      <x:c r="B81" s="18" t="str">
        <x:v>Phase 2 - Infrastructure</x:v>
      </x:c>
      <x:c r="C81" s="18" t="str">
        <x:v>PostgreSQL</x:v>
      </x:c>
      <x:c r="D81" s="37" t="str">
        <x:v>Khai báo persistent volume cho PostgreSQL</x:v>
      </x:c>
      <x:c r="E81" s="38" t="str">
        <x:v>A</x:v>
      </x:c>
      <x:c r="F81" s="38" t="str">
        <x:v>B</x:v>
      </x:c>
      <x:c r="G81" s="37" t="str">
        <x:v>P2-06</x:v>
      </x:c>
      <x:c r="H81" s="37" t="str">
        <x:v>Dữ liệu còn sau khi restart container</x:v>
      </x:c>
      <x:c r="I81" s="38" t="str">
        <x:v>P0</x:v>
      </x:c>
      <x:c r="J81" s="38" t="str">
        <x:v>TODO</x:v>
      </x:c>
      <x:c r="K81" s="39" t="n">
        <x:f>IF(J81="DONE",1,IF(J81="REVIEW",0.8,IF(J81="DOING",0.5,0)))</x:f>
        <x:v>0</x:v>
      </x:c>
      <x:c r="L81" s="40"/>
      <x:c r="M81" s="40"/>
      <x:c r="N81" s="37" t="str"/>
    </x:row>
    <x:row r="82" ht="44" customHeight="1">
      <x:c r="A82" s="18" t="str">
        <x:v>P2-08</x:v>
      </x:c>
      <x:c r="B82" s="18" t="str">
        <x:v>Phase 2 - Infrastructure</x:v>
      </x:c>
      <x:c r="C82" s="18" t="str">
        <x:v>PostgreSQL</x:v>
      </x:c>
      <x:c r="D82" s="37" t="str">
        <x:v>Thêm healthcheck cho PostgreSQL</x:v>
      </x:c>
      <x:c r="E82" s="38" t="str">
        <x:v>A</x:v>
      </x:c>
      <x:c r="F82" s="38" t="str">
        <x:v>B</x:v>
      </x:c>
      <x:c r="G82" s="37" t="str">
        <x:v>P2-06</x:v>
      </x:c>
      <x:c r="H82" s="37" t="str">
        <x:v>Docker báo service healthy</x:v>
      </x:c>
      <x:c r="I82" s="38" t="str">
        <x:v>P0</x:v>
      </x:c>
      <x:c r="J82" s="38" t="str">
        <x:v>TODO</x:v>
      </x:c>
      <x:c r="K82" s="39" t="n">
        <x:f>IF(J82="DONE",1,IF(J82="REVIEW",0.8,IF(J82="DOING",0.5,0)))</x:f>
        <x:v>0</x:v>
      </x:c>
      <x:c r="L82" s="40"/>
      <x:c r="M82" s="40"/>
      <x:c r="N82" s="37" t="str"/>
    </x:row>
    <x:row r="83" ht="44" customHeight="1">
      <x:c r="A83" s="18" t="str">
        <x:v>P2-09</x:v>
      </x:c>
      <x:c r="B83" s="18" t="str">
        <x:v>Phase 2 - Infrastructure</x:v>
      </x:c>
      <x:c r="C83" s="18" t="str">
        <x:v>PostgreSQL</x:v>
      </x:c>
      <x:c r="D83" s="37" t="str">
        <x:v>Khởi động và kết nối thử PostgreSQL</x:v>
      </x:c>
      <x:c r="E83" s="38" t="str">
        <x:v>A</x:v>
      </x:c>
      <x:c r="F83" s="38" t="str">
        <x:v>B</x:v>
      </x:c>
      <x:c r="G83" s="37" t="str">
        <x:v>P2-06 đến P2-08</x:v>
      </x:c>
      <x:c r="H83" s="37" t="str">
        <x:v>Kết nối bằng client và chạy SELECT thành công</x:v>
      </x:c>
      <x:c r="I83" s="38" t="str">
        <x:v>P0</x:v>
      </x:c>
      <x:c r="J83" s="38" t="str">
        <x:v>TODO</x:v>
      </x:c>
      <x:c r="K83" s="39" t="n">
        <x:f>IF(J83="DONE",1,IF(J83="REVIEW",0.8,IF(J83="DOING",0.5,0)))</x:f>
        <x:v>0</x:v>
      </x:c>
      <x:c r="L83" s="40"/>
      <x:c r="M83" s="40"/>
      <x:c r="N83" s="37" t="str"/>
    </x:row>
    <x:row r="84" ht="44" customHeight="1">
      <x:c r="A84" s="18" t="str">
        <x:v>P2-10</x:v>
      </x:c>
      <x:c r="B84" s="18" t="str">
        <x:v>Phase 2 - Infrastructure</x:v>
      </x:c>
      <x:c r="C84" s="18" t="str">
        <x:v>PostgreSQL</x:v>
      </x:c>
      <x:c r="D84" s="37" t="str">
        <x:v>Tạo logical database và schema ban đầu</x:v>
      </x:c>
      <x:c r="E84" s="38" t="str">
        <x:v>A</x:v>
      </x:c>
      <x:c r="F84" s="38" t="str">
        <x:v>B</x:v>
      </x:c>
      <x:c r="G84" s="37" t="str">
        <x:v>P2-09</x:v>
      </x:c>
      <x:c r="H84" s="37" t="str">
        <x:v>Có airflow_db hoặc vùng riêng; air_quality_dw có staging, dwh, mart</x:v>
      </x:c>
      <x:c r="I84" s="38" t="str">
        <x:v>P0</x:v>
      </x:c>
      <x:c r="J84" s="38" t="str">
        <x:v>TODO</x:v>
      </x:c>
      <x:c r="K84" s="39" t="n">
        <x:f>IF(J84="DONE",1,IF(J84="REVIEW",0.8,IF(J84="DOING",0.5,0)))</x:f>
        <x:v>0</x:v>
      </x:c>
      <x:c r="L84" s="40"/>
      <x:c r="M84" s="40"/>
      <x:c r="N84" s="37" t="str"/>
    </x:row>
    <x:row r="85" ht="44" customHeight="1">
      <x:c r="A85" s="18" t="str">
        <x:v>P2-11</x:v>
      </x:c>
      <x:c r="B85" s="18" t="str">
        <x:v>Phase 2 - Infrastructure</x:v>
      </x:c>
      <x:c r="C85" s="18" t="str">
        <x:v>MinIO</x:v>
      </x:c>
      <x:c r="D85" s="37" t="str">
        <x:v>Khai báo service minio và port 9000, 9001</x:v>
      </x:c>
      <x:c r="E85" s="38" t="str">
        <x:v>A</x:v>
      </x:c>
      <x:c r="F85" s="38" t="str">
        <x:v>B</x:v>
      </x:c>
      <x:c r="G85" s="37" t="str">
        <x:v>P2-04, P2-05</x:v>
      </x:c>
      <x:c r="H85" s="37" t="str">
        <x:v>API và Console được map đúng</x:v>
      </x:c>
      <x:c r="I85" s="38" t="str">
        <x:v>P0</x:v>
      </x:c>
      <x:c r="J85" s="38" t="str">
        <x:v>TODO</x:v>
      </x:c>
      <x:c r="K85" s="39" t="n">
        <x:f>IF(J85="DONE",1,IF(J85="REVIEW",0.8,IF(J85="DOING",0.5,0)))</x:f>
        <x:v>0</x:v>
      </x:c>
      <x:c r="L85" s="40"/>
      <x:c r="M85" s="40"/>
      <x:c r="N85" s="37" t="str"/>
    </x:row>
    <x:row r="86" ht="44" customHeight="1">
      <x:c r="A86" s="18" t="str">
        <x:v>P2-12</x:v>
      </x:c>
      <x:c r="B86" s="18" t="str">
        <x:v>Phase 2 - Infrastructure</x:v>
      </x:c>
      <x:c r="C86" s="18" t="str">
        <x:v>MinIO</x:v>
      </x:c>
      <x:c r="D86" s="37" t="str">
        <x:v>Khai báo persistent volume cho MinIO</x:v>
      </x:c>
      <x:c r="E86" s="38" t="str">
        <x:v>A</x:v>
      </x:c>
      <x:c r="F86" s="38" t="str">
        <x:v>B</x:v>
      </x:c>
      <x:c r="G86" s="37" t="str">
        <x:v>P2-11</x:v>
      </x:c>
      <x:c r="H86" s="37" t="str">
        <x:v>Object còn sau khi restart container</x:v>
      </x:c>
      <x:c r="I86" s="38" t="str">
        <x:v>P0</x:v>
      </x:c>
      <x:c r="J86" s="38" t="str">
        <x:v>TODO</x:v>
      </x:c>
      <x:c r="K86" s="39" t="n">
        <x:f>IF(J86="DONE",1,IF(J86="REVIEW",0.8,IF(J86="DOING",0.5,0)))</x:f>
        <x:v>0</x:v>
      </x:c>
      <x:c r="L86" s="40"/>
      <x:c r="M86" s="40"/>
      <x:c r="N86" s="37" t="str"/>
    </x:row>
    <x:row r="87" ht="44" customHeight="1">
      <x:c r="A87" s="18" t="str">
        <x:v>P2-13</x:v>
      </x:c>
      <x:c r="B87" s="18" t="str">
        <x:v>Phase 2 - Infrastructure</x:v>
      </x:c>
      <x:c r="C87" s="18" t="str">
        <x:v>MinIO</x:v>
      </x:c>
      <x:c r="D87" s="37" t="str">
        <x:v>Thêm healthcheck cho MinIO</x:v>
      </x:c>
      <x:c r="E87" s="38" t="str">
        <x:v>A</x:v>
      </x:c>
      <x:c r="F87" s="38" t="str">
        <x:v>B</x:v>
      </x:c>
      <x:c r="G87" s="37" t="str">
        <x:v>P2-11</x:v>
      </x:c>
      <x:c r="H87" s="37" t="str">
        <x:v>Docker báo service healthy</x:v>
      </x:c>
      <x:c r="I87" s="38" t="str">
        <x:v>P0</x:v>
      </x:c>
      <x:c r="J87" s="38" t="str">
        <x:v>TODO</x:v>
      </x:c>
      <x:c r="K87" s="39" t="n">
        <x:f>IF(J87="DONE",1,IF(J87="REVIEW",0.8,IF(J87="DOING",0.5,0)))</x:f>
        <x:v>0</x:v>
      </x:c>
      <x:c r="L87" s="40"/>
      <x:c r="M87" s="40"/>
      <x:c r="N87" s="37" t="str"/>
    </x:row>
    <x:row r="88" ht="44" customHeight="1">
      <x:c r="A88" s="18" t="str">
        <x:v>P2-14</x:v>
      </x:c>
      <x:c r="B88" s="18" t="str">
        <x:v>Phase 2 - Infrastructure</x:v>
      </x:c>
      <x:c r="C88" s="18" t="str">
        <x:v>MinIO</x:v>
      </x:c>
      <x:c r="D88" s="37" t="str">
        <x:v>Tạo bucket air-quality-lake</x:v>
      </x:c>
      <x:c r="E88" s="38" t="str">
        <x:v>A</x:v>
      </x:c>
      <x:c r="F88" s="38" t="str">
        <x:v>B</x:v>
      </x:c>
      <x:c r="G88" s="37" t="str">
        <x:v>P2-11 đến P2-13</x:v>
      </x:c>
      <x:c r="H88" s="37" t="str">
        <x:v>Bucket tồn tại và truy cập được</x:v>
      </x:c>
      <x:c r="I88" s="38" t="str">
        <x:v>P0</x:v>
      </x:c>
      <x:c r="J88" s="38" t="str">
        <x:v>TODO</x:v>
      </x:c>
      <x:c r="K88" s="39" t="n">
        <x:f>IF(J88="DONE",1,IF(J88="REVIEW",0.8,IF(J88="DOING",0.5,0)))</x:f>
        <x:v>0</x:v>
      </x:c>
      <x:c r="L88" s="40"/>
      <x:c r="M88" s="40"/>
      <x:c r="N88" s="37" t="str"/>
    </x:row>
    <x:row r="89" ht="44" customHeight="1">
      <x:c r="A89" s="18" t="str">
        <x:v>P2-15</x:v>
      </x:c>
      <x:c r="B89" s="18" t="str">
        <x:v>Phase 2 - Infrastructure</x:v>
      </x:c>
      <x:c r="C89" s="18" t="str">
        <x:v>MinIO</x:v>
      </x:c>
      <x:c r="D89" s="37" t="str">
        <x:v>Tạo quy ước prefix raw, processed và reference</x:v>
      </x:c>
      <x:c r="E89" s="38" t="str">
        <x:v>B</x:v>
      </x:c>
      <x:c r="F89" s="38" t="str">
        <x:v>A</x:v>
      </x:c>
      <x:c r="G89" s="37" t="str">
        <x:v>P2-14</x:v>
      </x:c>
      <x:c r="H89" s="37" t="str">
        <x:v>Prefix strategy được ghi lại và dùng thống nhất</x:v>
      </x:c>
      <x:c r="I89" s="38" t="str">
        <x:v>P1</x:v>
      </x:c>
      <x:c r="J89" s="38" t="str">
        <x:v>TODO</x:v>
      </x:c>
      <x:c r="K89" s="39" t="n">
        <x:f>IF(J89="DONE",1,IF(J89="REVIEW",0.8,IF(J89="DOING",0.5,0)))</x:f>
        <x:v>0</x:v>
      </x:c>
      <x:c r="L89" s="40"/>
      <x:c r="M89" s="40"/>
      <x:c r="N89" s="37" t="str"/>
    </x:row>
    <x:row r="90" ht="44" customHeight="1">
      <x:c r="A90" s="18" t="str">
        <x:v>P2-16</x:v>
      </x:c>
      <x:c r="B90" s="18" t="str">
        <x:v>Phase 2 - Infrastructure</x:v>
      </x:c>
      <x:c r="C90" s="18" t="str">
        <x:v>MinIO</x:v>
      </x:c>
      <x:c r="D90" s="37" t="str">
        <x:v>Kiểm tra upload và download một object mẫu</x:v>
      </x:c>
      <x:c r="E90" s="38" t="str">
        <x:v>B</x:v>
      </x:c>
      <x:c r="F90" s="38" t="str">
        <x:v>A</x:v>
      </x:c>
      <x:c r="G90" s="37" t="str">
        <x:v>P2-14</x:v>
      </x:c>
      <x:c r="H90" s="37" t="str">
        <x:v>File tải xuống giống file tải lên</x:v>
      </x:c>
      <x:c r="I90" s="38" t="str">
        <x:v>P0</x:v>
      </x:c>
      <x:c r="J90" s="38" t="str">
        <x:v>TODO</x:v>
      </x:c>
      <x:c r="K90" s="39" t="n">
        <x:f>IF(J90="DONE",1,IF(J90="REVIEW",0.8,IF(J90="DOING",0.5,0)))</x:f>
        <x:v>0</x:v>
      </x:c>
      <x:c r="L90" s="40"/>
      <x:c r="M90" s="40"/>
      <x:c r="N90" s="37" t="str"/>
    </x:row>
    <x:row r="91" ht="44" customHeight="1">
      <x:c r="A91" s="18" t="str">
        <x:v>P2-17</x:v>
      </x:c>
      <x:c r="B91" s="18" t="str">
        <x:v>Phase 2 - Infrastructure</x:v>
      </x:c>
      <x:c r="C91" s="18" t="str">
        <x:v>Airflow</x:v>
      </x:c>
      <x:c r="D91" s="37" t="str">
        <x:v>Chốt cấu hình Airflow tối thiểu dùng cho project</x:v>
      </x:c>
      <x:c r="E91" s="38" t="str">
        <x:v>A+B</x:v>
      </x:c>
      <x:c r="F91" s="38" t="str">
        <x:v>A+B</x:v>
      </x:c>
      <x:c r="G91" s="37" t="str">
        <x:v>P2-01</x:v>
      </x:c>
      <x:c r="H91" s="37" t="str">
        <x:v>Ghi rõ executor, metadata DB và service cần dùng</x:v>
      </x:c>
      <x:c r="I91" s="38" t="str">
        <x:v>P0</x:v>
      </x:c>
      <x:c r="J91" s="38" t="str">
        <x:v>TODO</x:v>
      </x:c>
      <x:c r="K91" s="39" t="n">
        <x:f>IF(J91="DONE",1,IF(J91="REVIEW",0.8,IF(J91="DOING",0.5,0)))</x:f>
        <x:v>0</x:v>
      </x:c>
      <x:c r="L91" s="40"/>
      <x:c r="M91" s="40"/>
      <x:c r="N91" s="37" t="str"/>
    </x:row>
    <x:row r="92" ht="44" customHeight="1">
      <x:c r="A92" s="18" t="str">
        <x:v>P2-18</x:v>
      </x:c>
      <x:c r="B92" s="18" t="str">
        <x:v>Phase 2 - Infrastructure</x:v>
      </x:c>
      <x:c r="C92" s="18" t="str">
        <x:v>Airflow</x:v>
      </x:c>
      <x:c r="D92" s="37" t="str">
        <x:v>Cấu hình khởi tạo Airflow metadata database</x:v>
      </x:c>
      <x:c r="E92" s="38" t="str">
        <x:v>A</x:v>
      </x:c>
      <x:c r="F92" s="38" t="str">
        <x:v>B</x:v>
      </x:c>
      <x:c r="G92" s="37" t="str">
        <x:v>P2-10, P2-17</x:v>
      </x:c>
      <x:c r="H92" s="37" t="str">
        <x:v>Migration/init database chạy thành công</x:v>
      </x:c>
      <x:c r="I92" s="38" t="str">
        <x:v>P0</x:v>
      </x:c>
      <x:c r="J92" s="38" t="str">
        <x:v>TODO</x:v>
      </x:c>
      <x:c r="K92" s="39" t="n">
        <x:f>IF(J92="DONE",1,IF(J92="REVIEW",0.8,IF(J92="DOING",0.5,0)))</x:f>
        <x:v>0</x:v>
      </x:c>
      <x:c r="L92" s="40"/>
      <x:c r="M92" s="40"/>
      <x:c r="N92" s="37" t="str"/>
    </x:row>
    <x:row r="93" ht="44" customHeight="1">
      <x:c r="A93" s="18" t="str">
        <x:v>P2-19</x:v>
      </x:c>
      <x:c r="B93" s="18" t="str">
        <x:v>Phase 2 - Infrastructure</x:v>
      </x:c>
      <x:c r="C93" s="18" t="str">
        <x:v>Airflow</x:v>
      </x:c>
      <x:c r="D93" s="37" t="str">
        <x:v>Khai báo airflow-webserver</x:v>
      </x:c>
      <x:c r="E93" s="38" t="str">
        <x:v>A</x:v>
      </x:c>
      <x:c r="F93" s="38" t="str">
        <x:v>B</x:v>
      </x:c>
      <x:c r="G93" s="37" t="str">
        <x:v>P2-17, P2-18</x:v>
      </x:c>
      <x:c r="H93" s="37" t="str">
        <x:v>Webserver khởi động không lỗi</x:v>
      </x:c>
      <x:c r="I93" s="38" t="str">
        <x:v>P0</x:v>
      </x:c>
      <x:c r="J93" s="38" t="str">
        <x:v>TODO</x:v>
      </x:c>
      <x:c r="K93" s="39" t="n">
        <x:f>IF(J93="DONE",1,IF(J93="REVIEW",0.8,IF(J93="DOING",0.5,0)))</x:f>
        <x:v>0</x:v>
      </x:c>
      <x:c r="L93" s="40"/>
      <x:c r="M93" s="40"/>
      <x:c r="N93" s="37" t="str"/>
    </x:row>
    <x:row r="94" ht="44" customHeight="1">
      <x:c r="A94" s="18" t="str">
        <x:v>P2-20</x:v>
      </x:c>
      <x:c r="B94" s="18" t="str">
        <x:v>Phase 2 - Infrastructure</x:v>
      </x:c>
      <x:c r="C94" s="18" t="str">
        <x:v>Airflow</x:v>
      </x:c>
      <x:c r="D94" s="37" t="str">
        <x:v>Khai báo airflow-scheduler</x:v>
      </x:c>
      <x:c r="E94" s="38" t="str">
        <x:v>A</x:v>
      </x:c>
      <x:c r="F94" s="38" t="str">
        <x:v>B</x:v>
      </x:c>
      <x:c r="G94" s="37" t="str">
        <x:v>P2-17, P2-18</x:v>
      </x:c>
      <x:c r="H94" s="37" t="str">
        <x:v>Scheduler heartbeat hoạt động</x:v>
      </x:c>
      <x:c r="I94" s="38" t="str">
        <x:v>P0</x:v>
      </x:c>
      <x:c r="J94" s="38" t="str">
        <x:v>TODO</x:v>
      </x:c>
      <x:c r="K94" s="39" t="n">
        <x:f>IF(J94="DONE",1,IF(J94="REVIEW",0.8,IF(J94="DOING",0.5,0)))</x:f>
        <x:v>0</x:v>
      </x:c>
      <x:c r="L94" s="40"/>
      <x:c r="M94" s="40"/>
      <x:c r="N94" s="37" t="str"/>
    </x:row>
    <x:row r="95" ht="44" customHeight="1">
      <x:c r="A95" s="18" t="str">
        <x:v>P2-21</x:v>
      </x:c>
      <x:c r="B95" s="18" t="str">
        <x:v>Phase 2 - Infrastructure</x:v>
      </x:c>
      <x:c r="C95" s="18" t="str">
        <x:v>Airflow</x:v>
      </x:c>
      <x:c r="D95" s="37" t="str">
        <x:v>Mount dags, logs và source code vào container</x:v>
      </x:c>
      <x:c r="E95" s="38" t="str">
        <x:v>A</x:v>
      </x:c>
      <x:c r="F95" s="38" t="str">
        <x:v>B</x:v>
      </x:c>
      <x:c r="G95" s="37" t="str">
        <x:v>P2-19, P2-20</x:v>
      </x:c>
      <x:c r="H95" s="37" t="str">
        <x:v>DAG và module Python nhìn thấy trong container</x:v>
      </x:c>
      <x:c r="I95" s="38" t="str">
        <x:v>P0</x:v>
      </x:c>
      <x:c r="J95" s="38" t="str">
        <x:v>TODO</x:v>
      </x:c>
      <x:c r="K95" s="39" t="n">
        <x:f>IF(J95="DONE",1,IF(J95="REVIEW",0.8,IF(J95="DOING",0.5,0)))</x:f>
        <x:v>0</x:v>
      </x:c>
      <x:c r="L95" s="40"/>
      <x:c r="M95" s="40"/>
      <x:c r="N95" s="37" t="str"/>
    </x:row>
    <x:row r="96" ht="44" customHeight="1">
      <x:c r="A96" s="18" t="str">
        <x:v>P2-22</x:v>
      </x:c>
      <x:c r="B96" s="18" t="str">
        <x:v>Phase 2 - Infrastructure</x:v>
      </x:c>
      <x:c r="C96" s="18" t="str">
        <x:v>Airflow</x:v>
      </x:c>
      <x:c r="D96" s="37" t="str">
        <x:v>Cấu hình kết nối nội bộ bằng Docker service name</x:v>
      </x:c>
      <x:c r="E96" s="38" t="str">
        <x:v>A</x:v>
      </x:c>
      <x:c r="F96" s="38" t="str">
        <x:v>B</x:v>
      </x:c>
      <x:c r="G96" s="37" t="str">
        <x:v>P2-05, P2-21</x:v>
      </x:c>
      <x:c r="H96" s="37" t="str">
        <x:v>Dùng postgres:5432 và minio:9000; không dùng localhost giữa container</x:v>
      </x:c>
      <x:c r="I96" s="38" t="str">
        <x:v>P0</x:v>
      </x:c>
      <x:c r="J96" s="38" t="str">
        <x:v>TODO</x:v>
      </x:c>
      <x:c r="K96" s="39" t="n">
        <x:f>IF(J96="DONE",1,IF(J96="REVIEW",0.8,IF(J96="DOING",0.5,0)))</x:f>
        <x:v>0</x:v>
      </x:c>
      <x:c r="L96" s="40"/>
      <x:c r="M96" s="40"/>
      <x:c r="N96" s="37" t="str"/>
    </x:row>
    <x:row r="97" ht="44" customHeight="1">
      <x:c r="A97" s="18" t="str">
        <x:v>P2-23</x:v>
      </x:c>
      <x:c r="B97" s="18" t="str">
        <x:v>Phase 2 - Infrastructure</x:v>
      </x:c>
      <x:c r="C97" s="18" t="str">
        <x:v>Airflow</x:v>
      </x:c>
      <x:c r="D97" s="37" t="str">
        <x:v>Truy cập Airflow UI và kiểm tra scheduler</x:v>
      </x:c>
      <x:c r="E97" s="38" t="str">
        <x:v>B</x:v>
      </x:c>
      <x:c r="F97" s="38" t="str">
        <x:v>A</x:v>
      </x:c>
      <x:c r="G97" s="37" t="str">
        <x:v>P2-19 đến P2-22</x:v>
      </x:c>
      <x:c r="H97" s="37" t="str">
        <x:v>UI mở được và scheduler hoạt động</x:v>
      </x:c>
      <x:c r="I97" s="38" t="str">
        <x:v>P0</x:v>
      </x:c>
      <x:c r="J97" s="38" t="str">
        <x:v>TODO</x:v>
      </x:c>
      <x:c r="K97" s="39" t="n">
        <x:f>IF(J97="DONE",1,IF(J97="REVIEW",0.8,IF(J97="DOING",0.5,0)))</x:f>
        <x:v>0</x:v>
      </x:c>
      <x:c r="L97" s="40"/>
      <x:c r="M97" s="40"/>
      <x:c r="N97" s="37" t="str"/>
    </x:row>
    <x:row r="98" ht="44" customHeight="1">
      <x:c r="A98" s="18" t="str">
        <x:v>P2-24</x:v>
      </x:c>
      <x:c r="B98" s="18" t="str">
        <x:v>Phase 2 - Infrastructure</x:v>
      </x:c>
      <x:c r="C98" s="18" t="str">
        <x:v>Airflow</x:v>
      </x:c>
      <x:c r="D98" s="37" t="str">
        <x:v>Tạo và chạy sample DAG</x:v>
      </x:c>
      <x:c r="E98" s="38" t="str">
        <x:v>A</x:v>
      </x:c>
      <x:c r="F98" s="38" t="str">
        <x:v>B</x:v>
      </x:c>
      <x:c r="G98" s="37" t="str">
        <x:v>P2-23</x:v>
      </x:c>
      <x:c r="H98" s="37" t="str">
        <x:v>DAG hiển thị success và có log rõ</x:v>
      </x:c>
      <x:c r="I98" s="38" t="str">
        <x:v>P0</x:v>
      </x:c>
      <x:c r="J98" s="38" t="str">
        <x:v>TODO</x:v>
      </x:c>
      <x:c r="K98" s="39" t="n">
        <x:f>IF(J98="DONE",1,IF(J98="REVIEW",0.8,IF(J98="DOING",0.5,0)))</x:f>
        <x:v>0</x:v>
      </x:c>
      <x:c r="L98" s="40"/>
      <x:c r="M98" s="40"/>
      <x:c r="N98" s="37" t="str"/>
    </x:row>
    <x:row r="99" ht="44" customHeight="1">
      <x:c r="A99" s="18" t="str">
        <x:v>P2-25</x:v>
      </x:c>
      <x:c r="B99" s="18" t="str">
        <x:v>Phase 2 - Infrastructure</x:v>
      </x:c>
      <x:c r="C99" s="18" t="str">
        <x:v>Integration</x:v>
      </x:c>
      <x:c r="D99" s="37" t="str">
        <x:v>Chạy toàn bộ docker compose từ trạng thái sạch</x:v>
      </x:c>
      <x:c r="E99" s="38" t="str">
        <x:v>A</x:v>
      </x:c>
      <x:c r="F99" s="38" t="str">
        <x:v>B</x:v>
      </x:c>
      <x:c r="G99" s="37" t="str">
        <x:v>P2-06 đến P2-24</x:v>
      </x:c>
      <x:c r="H99" s="37" t="str">
        <x:v>PostgreSQL, MinIO và Airflow cùng healthy</x:v>
      </x:c>
      <x:c r="I99" s="38" t="str">
        <x:v>P0</x:v>
      </x:c>
      <x:c r="J99" s="38" t="str">
        <x:v>TODO</x:v>
      </x:c>
      <x:c r="K99" s="39" t="n">
        <x:f>IF(J99="DONE",1,IF(J99="REVIEW",0.8,IF(J99="DOING",0.5,0)))</x:f>
        <x:v>0</x:v>
      </x:c>
      <x:c r="L99" s="40"/>
      <x:c r="M99" s="40"/>
      <x:c r="N99" s="37" t="str"/>
    </x:row>
    <x:row r="100" ht="44" customHeight="1">
      <x:c r="A100" s="18" t="str">
        <x:v>P2-26</x:v>
      </x:c>
      <x:c r="B100" s="18" t="str">
        <x:v>Phase 2 - Infrastructure</x:v>
      </x:c>
      <x:c r="C100" s="18" t="str">
        <x:v>Integration</x:v>
      </x:c>
      <x:c r="D100" s="37" t="str">
        <x:v>Kiểm tra restart và tính bền vững của volume</x:v>
      </x:c>
      <x:c r="E100" s="38" t="str">
        <x:v>A</x:v>
      </x:c>
      <x:c r="F100" s="38" t="str">
        <x:v>B</x:v>
      </x:c>
      <x:c r="G100" s="37" t="str">
        <x:v>P2-25</x:v>
      </x:c>
      <x:c r="H100" s="37" t="str">
        <x:v>Database và object mẫu không mất sau restart</x:v>
      </x:c>
      <x:c r="I100" s="38" t="str">
        <x:v>P0</x:v>
      </x:c>
      <x:c r="J100" s="38" t="str">
        <x:v>TODO</x:v>
      </x:c>
      <x:c r="K100" s="39" t="n">
        <x:f>IF(J100="DONE",1,IF(J100="REVIEW",0.8,IF(J100="DOING",0.5,0)))</x:f>
        <x:v>0</x:v>
      </x:c>
      <x:c r="L100" s="40"/>
      <x:c r="M100" s="40"/>
      <x:c r="N100" s="37" t="str"/>
    </x:row>
    <x:row r="101" ht="44" customHeight="1">
      <x:c r="A101" s="18" t="str">
        <x:v>P2-27</x:v>
      </x:c>
      <x:c r="B101" s="18" t="str">
        <x:v>Phase 2 - Infrastructure</x:v>
      </x:c>
      <x:c r="C101" s="18" t="str">
        <x:v>Tái tạo môi trường</x:v>
      </x:c>
      <x:c r="D101" s="37" t="str">
        <x:v>Thành viên A dựng lại environment từ repo và .env</x:v>
      </x:c>
      <x:c r="E101" s="38" t="str">
        <x:v>A</x:v>
      </x:c>
      <x:c r="F101" s="38" t="str">
        <x:v>B</x:v>
      </x:c>
      <x:c r="G101" s="37" t="str">
        <x:v>P2-25, P2-26</x:v>
      </x:c>
      <x:c r="H101" s="37" t="str">
        <x:v>Dựng được không cần cấu hình bí mật bằng tay</x:v>
      </x:c>
      <x:c r="I101" s="38" t="str">
        <x:v>P0</x:v>
      </x:c>
      <x:c r="J101" s="38" t="str">
        <x:v>TODO</x:v>
      </x:c>
      <x:c r="K101" s="39" t="n">
        <x:f>IF(J101="DONE",1,IF(J101="REVIEW",0.8,IF(J101="DOING",0.5,0)))</x:f>
        <x:v>0</x:v>
      </x:c>
      <x:c r="L101" s="40"/>
      <x:c r="M101" s="40"/>
      <x:c r="N101" s="37" t="str"/>
    </x:row>
    <x:row r="102" ht="44" customHeight="1">
      <x:c r="A102" s="18" t="str">
        <x:v>P2-28</x:v>
      </x:c>
      <x:c r="B102" s="18" t="str">
        <x:v>Phase 2 - Infrastructure</x:v>
      </x:c>
      <x:c r="C102" s="18" t="str">
        <x:v>Tái tạo môi trường</x:v>
      </x:c>
      <x:c r="D102" s="37" t="str">
        <x:v>Thành viên B dựng lại environment từ repo và .env</x:v>
      </x:c>
      <x:c r="E102" s="38" t="str">
        <x:v>B</x:v>
      </x:c>
      <x:c r="F102" s="38" t="str">
        <x:v>A</x:v>
      </x:c>
      <x:c r="G102" s="37" t="str">
        <x:v>P2-27</x:v>
      </x:c>
      <x:c r="H102" s="37" t="str">
        <x:v>Dựng được không phụ thuộc máy A</x:v>
      </x:c>
      <x:c r="I102" s="38" t="str">
        <x:v>P0</x:v>
      </x:c>
      <x:c r="J102" s="38" t="str">
        <x:v>TODO</x:v>
      </x:c>
      <x:c r="K102" s="39" t="n">
        <x:f>IF(J102="DONE",1,IF(J102="REVIEW",0.8,IF(J102="DOING",0.5,0)))</x:f>
        <x:v>0</x:v>
      </x:c>
      <x:c r="L102" s="40"/>
      <x:c r="M102" s="40"/>
      <x:c r="N102" s="37" t="str"/>
    </x:row>
    <x:row r="103" ht="44" customHeight="1">
      <x:c r="A103" s="18" t="str">
        <x:v>P2-29</x:v>
      </x:c>
      <x:c r="B103" s="18" t="str">
        <x:v>Phase 2 - Infrastructure</x:v>
      </x:c>
      <x:c r="C103" s="18" t="str">
        <x:v>Tài liệu</x:v>
      </x:c>
      <x:c r="D103" s="37" t="str">
        <x:v>Viết hướng dẫn start, stop, reset an toàn và truy cập UI</x:v>
      </x:c>
      <x:c r="E103" s="38" t="str">
        <x:v>B</x:v>
      </x:c>
      <x:c r="F103" s="38" t="str">
        <x:v>A</x:v>
      </x:c>
      <x:c r="G103" s="37" t="str">
        <x:v>P2-28</x:v>
      </x:c>
      <x:c r="H103" s="37" t="str">
        <x:v>README có lệnh và port cần dùng</x:v>
      </x:c>
      <x:c r="I103" s="38" t="str">
        <x:v>P1</x:v>
      </x:c>
      <x:c r="J103" s="38" t="str">
        <x:v>TODO</x:v>
      </x:c>
      <x:c r="K103" s="39" t="n">
        <x:f>IF(J103="DONE",1,IF(J103="REVIEW",0.8,IF(J103="DOING",0.5,0)))</x:f>
        <x:v>0</x:v>
      </x:c>
      <x:c r="L103" s="40"/>
      <x:c r="M103" s="40"/>
      <x:c r="N103" s="37" t="str"/>
    </x:row>
    <x:row r="104" ht="44" customHeight="1">
      <x:c r="A104" s="18" t="str">
        <x:v>P2-30</x:v>
      </x:c>
      <x:c r="B104" s="18" t="str">
        <x:v>Phase 2 - Infrastructure</x:v>
      </x:c>
      <x:c r="C104" s="18" t="str">
        <x:v>Checkpoint</x:v>
      </x:c>
      <x:c r="D104" s="37" t="str">
        <x:v>Lưu evidence và cập nhật PROGRESS.md Phase 2</x:v>
      </x:c>
      <x:c r="E104" s="38" t="str">
        <x:v>B</x:v>
      </x:c>
      <x:c r="F104" s="38" t="str">
        <x:v>A</x:v>
      </x:c>
      <x:c r="G104" s="37" t="str">
        <x:v>P2-29</x:v>
      </x:c>
      <x:c r="H104" s="37" t="str">
        <x:v>Có ảnh/log health và checkpoint Infrastructure Ready</x:v>
      </x:c>
      <x:c r="I104" s="38" t="str">
        <x:v>P1</x:v>
      </x:c>
      <x:c r="J104" s="38" t="str">
        <x:v>TODO</x:v>
      </x:c>
      <x:c r="K104" s="39" t="n">
        <x:f>IF(J104="DONE",1,IF(J104="REVIEW",0.8,IF(J104="DOING",0.5,0)))</x:f>
        <x:v>0</x:v>
      </x:c>
      <x:c r="L104" s="40"/>
      <x:c r="M104" s="40"/>
      <x:c r="N104" s="37" t="str"/>
    </x:row>
    <x:row r="105" ht="44" customHeight="1">
      <x:c r="A105" s="18" t="str">
        <x:v>P3-01</x:v>
      </x:c>
      <x:c r="B105" s="18" t="str">
        <x:v>Phase 3 - UCI Ingestion</x:v>
      </x:c>
      <x:c r="C105" s="18" t="str">
        <x:v>Thiết kế raw zone</x:v>
      </x:c>
      <x:c r="D105" s="37" t="str">
        <x:v>Chốt object path cho raw UCI</x:v>
      </x:c>
      <x:c r="E105" s="38" t="str">
        <x:v>A+B</x:v>
      </x:c>
      <x:c r="F105" s="38" t="str">
        <x:v>A+B</x:v>
      </x:c>
      <x:c r="G105" s="37" t="str">
        <x:v>P2-30</x:v>
      </x:c>
      <x:c r="H105" s="37" t="str">
        <x:v>Dùng raw/uci/air_quality và quy tắc tên object rõ</x:v>
      </x:c>
      <x:c r="I105" s="38" t="str">
        <x:v>P0</x:v>
      </x:c>
      <x:c r="J105" s="38" t="str">
        <x:v>TODO</x:v>
      </x:c>
      <x:c r="K105" s="39" t="n">
        <x:f>IF(J105="DONE",1,IF(J105="REVIEW",0.8,IF(J105="DOING",0.5,0)))</x:f>
        <x:v>0</x:v>
      </x:c>
      <x:c r="L105" s="40"/>
      <x:c r="M105" s="40"/>
      <x:c r="N105" s="37" t="str"/>
    </x:row>
    <x:row r="106" ht="44" customHeight="1">
      <x:c r="A106" s="18" t="str">
        <x:v>P3-02</x:v>
      </x:c>
      <x:c r="B106" s="18" t="str">
        <x:v>Phase 3 - UCI Ingestion</x:v>
      </x:c>
      <x:c r="C106" s="18" t="str">
        <x:v>Nguồn dữ liệu</x:v>
      </x:c>
      <x:c r="D106" s="37" t="str">
        <x:v>Cấu hình đường dẫn source UCI qua biến môi trường hoặc config</x:v>
      </x:c>
      <x:c r="E106" s="38" t="str">
        <x:v>A</x:v>
      </x:c>
      <x:c r="F106" s="38" t="str">
        <x:v>B</x:v>
      </x:c>
      <x:c r="G106" s="37" t="str">
        <x:v>P3-01</x:v>
      </x:c>
      <x:c r="H106" s="37" t="str">
        <x:v>Không hard-code đường dẫn máy cá nhân trong DAG</x:v>
      </x:c>
      <x:c r="I106" s="38" t="str">
        <x:v>P0</x:v>
      </x:c>
      <x:c r="J106" s="38" t="str">
        <x:v>TODO</x:v>
      </x:c>
      <x:c r="K106" s="39" t="n">
        <x:f>IF(J106="DONE",1,IF(J106="REVIEW",0.8,IF(J106="DOING",0.5,0)))</x:f>
        <x:v>0</x:v>
      </x:c>
      <x:c r="L106" s="40"/>
      <x:c r="M106" s="40"/>
      <x:c r="N106" s="37" t="str"/>
    </x:row>
    <x:row r="107" ht="44" customHeight="1">
      <x:c r="A107" s="18" t="str">
        <x:v>P3-03</x:v>
      </x:c>
      <x:c r="B107" s="18" t="str">
        <x:v>Phase 3 - UCI Ingestion</x:v>
      </x:c>
      <x:c r="C107" s="18" t="str">
        <x:v>Source validation</x:v>
      </x:c>
      <x:c r="D107" s="37" t="str">
        <x:v>Viết kiểm tra file tồn tại và không rỗng</x:v>
      </x:c>
      <x:c r="E107" s="38" t="str">
        <x:v>A</x:v>
      </x:c>
      <x:c r="F107" s="38" t="str">
        <x:v>B</x:v>
      </x:c>
      <x:c r="G107" s="37" t="str">
        <x:v>P3-02</x:v>
      </x:c>
      <x:c r="H107" s="37" t="str">
        <x:v>File thiếu hoặc rỗng làm task fail với thông báo rõ</x:v>
      </x:c>
      <x:c r="I107" s="38" t="str">
        <x:v>P0</x:v>
      </x:c>
      <x:c r="J107" s="38" t="str">
        <x:v>TODO</x:v>
      </x:c>
      <x:c r="K107" s="39" t="n">
        <x:f>IF(J107="DONE",1,IF(J107="REVIEW",0.8,IF(J107="DOING",0.5,0)))</x:f>
        <x:v>0</x:v>
      </x:c>
      <x:c r="L107" s="40"/>
      <x:c r="M107" s="40"/>
      <x:c r="N107" s="37" t="str"/>
    </x:row>
    <x:row r="108" ht="44" customHeight="1">
      <x:c r="A108" s="18" t="str">
        <x:v>P3-04</x:v>
      </x:c>
      <x:c r="B108" s="18" t="str">
        <x:v>Phase 3 - UCI Ingestion</x:v>
      </x:c>
      <x:c r="C108" s="18" t="str">
        <x:v>Source validation</x:v>
      </x:c>
      <x:c r="D108" s="37" t="str">
        <x:v>Viết kiểm tra required columns của UCI</x:v>
      </x:c>
      <x:c r="E108" s="38" t="str">
        <x:v>A</x:v>
      </x:c>
      <x:c r="F108" s="38" t="str">
        <x:v>B</x:v>
      </x:c>
      <x:c r="G108" s="37" t="str">
        <x:v>P3-03</x:v>
      </x:c>
      <x:c r="H108" s="37" t="str">
        <x:v>Thiếu cột bắt buộc được phát hiện trước upload</x:v>
      </x:c>
      <x:c r="I108" s="38" t="str">
        <x:v>P0</x:v>
      </x:c>
      <x:c r="J108" s="38" t="str">
        <x:v>TODO</x:v>
      </x:c>
      <x:c r="K108" s="39" t="n">
        <x:f>IF(J108="DONE",1,IF(J108="REVIEW",0.8,IF(J108="DOING",0.5,0)))</x:f>
        <x:v>0</x:v>
      </x:c>
      <x:c r="L108" s="40"/>
      <x:c r="M108" s="40"/>
      <x:c r="N108" s="37" t="str"/>
    </x:row>
    <x:row r="109" ht="44" customHeight="1">
      <x:c r="A109" s="18" t="str">
        <x:v>P3-05</x:v>
      </x:c>
      <x:c r="B109" s="18" t="str">
        <x:v>Phase 3 - UCI Ingestion</x:v>
      </x:c>
      <x:c r="C109" s="18" t="str">
        <x:v>Vertical slice</x:v>
      </x:c>
      <x:c r="D109" s="37" t="str">
        <x:v>Chọn và cấu hình Wanshouxigong làm station thử đầu tiên</x:v>
      </x:c>
      <x:c r="E109" s="38" t="str">
        <x:v>B</x:v>
      </x:c>
      <x:c r="F109" s="38" t="str">
        <x:v>A</x:v>
      </x:c>
      <x:c r="G109" s="37" t="str">
        <x:v>P3-02</x:v>
      </x:c>
      <x:c r="H109" s="37" t="str">
        <x:v>Pipeline nhận đúng một file Wanshouxigong</x:v>
      </x:c>
      <x:c r="I109" s="38" t="str">
        <x:v>P0</x:v>
      </x:c>
      <x:c r="J109" s="38" t="str">
        <x:v>TODO</x:v>
      </x:c>
      <x:c r="K109" s="39" t="n">
        <x:f>IF(J109="DONE",1,IF(J109="REVIEW",0.8,IF(J109="DOING",0.5,0)))</x:f>
        <x:v>0</x:v>
      </x:c>
      <x:c r="L109" s="40"/>
      <x:c r="M109" s="40"/>
      <x:c r="N109" s="37" t="str"/>
    </x:row>
    <x:row r="110" ht="44" customHeight="1">
      <x:c r="A110" s="18" t="str">
        <x:v>P3-06</x:v>
      </x:c>
      <x:c r="B110" s="18" t="str">
        <x:v>Phase 3 - UCI Ingestion</x:v>
      </x:c>
      <x:c r="C110" s="18" t="str">
        <x:v>Lineage</x:v>
      </x:c>
      <x:c r="D110" s="37" t="str">
        <x:v>Tính checksum cho source file</x:v>
      </x:c>
      <x:c r="E110" s="38" t="str">
        <x:v>A</x:v>
      </x:c>
      <x:c r="F110" s="38" t="str">
        <x:v>B</x:v>
      </x:c>
      <x:c r="G110" s="37" t="str">
        <x:v>P3-03</x:v>
      </x:c>
      <x:c r="H110" s="37" t="str">
        <x:v>Có checksum ổn định để nhận diện nội dung file</x:v>
      </x:c>
      <x:c r="I110" s="38" t="str">
        <x:v>P1</x:v>
      </x:c>
      <x:c r="J110" s="38" t="str">
        <x:v>TODO</x:v>
      </x:c>
      <x:c r="K110" s="39" t="n">
        <x:f>IF(J110="DONE",1,IF(J110="REVIEW",0.8,IF(J110="DOING",0.5,0)))</x:f>
        <x:v>0</x:v>
      </x:c>
      <x:c r="L110" s="40"/>
      <x:c r="M110" s="40"/>
      <x:c r="N110" s="37" t="str"/>
    </x:row>
    <x:row r="111" ht="44" customHeight="1">
      <x:c r="A111" s="18" t="str">
        <x:v>P3-07</x:v>
      </x:c>
      <x:c r="B111" s="18" t="str">
        <x:v>Phase 3 - UCI Ingestion</x:v>
      </x:c>
      <x:c r="C111" s="18" t="str">
        <x:v>Lineage</x:v>
      </x:c>
      <x:c r="D111" s="37" t="str">
        <x:v>Thiết kế metadata object raw</x:v>
      </x:c>
      <x:c r="E111" s="38" t="str">
        <x:v>A+B</x:v>
      </x:c>
      <x:c r="F111" s="38" t="str">
        <x:v>A+B</x:v>
      </x:c>
      <x:c r="G111" s="37" t="str">
        <x:v>P3-01, P3-06</x:v>
      </x:c>
      <x:c r="H111" s="37" t="str">
        <x:v>Có source file, station, ingestion time, checksum, source id</x:v>
      </x:c>
      <x:c r="I111" s="38" t="str">
        <x:v>P0</x:v>
      </x:c>
      <x:c r="J111" s="38" t="str">
        <x:v>TODO</x:v>
      </x:c>
      <x:c r="K111" s="39" t="n">
        <x:f>IF(J111="DONE",1,IF(J111="REVIEW",0.8,IF(J111="DOING",0.5,0)))</x:f>
        <x:v>0</x:v>
      </x:c>
      <x:c r="L111" s="40"/>
      <x:c r="M111" s="40"/>
      <x:c r="N111" s="37" t="str"/>
    </x:row>
    <x:row r="112" ht="44" customHeight="1">
      <x:c r="A112" s="18" t="str">
        <x:v>P3-08</x:v>
      </x:c>
      <x:c r="B112" s="18" t="str">
        <x:v>Phase 3 - UCI Ingestion</x:v>
      </x:c>
      <x:c r="C112" s="18" t="str">
        <x:v>MinIO client</x:v>
      </x:c>
      <x:c r="D112" s="37" t="str">
        <x:v>Viết hàm upload object vào MinIO</x:v>
      </x:c>
      <x:c r="E112" s="38" t="str">
        <x:v>A</x:v>
      </x:c>
      <x:c r="F112" s="38" t="str">
        <x:v>B</x:v>
      </x:c>
      <x:c r="G112" s="37" t="str">
        <x:v>P2-16, P3-07</x:v>
      </x:c>
      <x:c r="H112" s="37" t="str">
        <x:v>Module Python upload được và trả về object path</x:v>
      </x:c>
      <x:c r="I112" s="38" t="str">
        <x:v>P0</x:v>
      </x:c>
      <x:c r="J112" s="38" t="str">
        <x:v>TODO</x:v>
      </x:c>
      <x:c r="K112" s="39" t="n">
        <x:f>IF(J112="DONE",1,IF(J112="REVIEW",0.8,IF(J112="DOING",0.5,0)))</x:f>
        <x:v>0</x:v>
      </x:c>
      <x:c r="L112" s="40"/>
      <x:c r="M112" s="40"/>
      <x:c r="N112" s="37" t="str"/>
    </x:row>
    <x:row r="113" ht="44" customHeight="1">
      <x:c r="A113" s="18" t="str">
        <x:v>P3-09</x:v>
      </x:c>
      <x:c r="B113" s="18" t="str">
        <x:v>Phase 3 - UCI Ingestion</x:v>
      </x:c>
      <x:c r="C113" s="18" t="str">
        <x:v>Idempotency</x:v>
      </x:c>
      <x:c r="D113" s="37" t="str">
        <x:v>Chốt chiến lược rerun theo checksum hoặc version path</x:v>
      </x:c>
      <x:c r="E113" s="38" t="str">
        <x:v>A+B</x:v>
      </x:c>
      <x:c r="F113" s="38" t="str">
        <x:v>A+B</x:v>
      </x:c>
      <x:c r="G113" s="37" t="str">
        <x:v>P3-06 đến P3-08</x:v>
      </x:c>
      <x:c r="H113" s="37" t="str">
        <x:v>Rerun không overwrite âm thầm và không tạo dữ liệu sai</x:v>
      </x:c>
      <x:c r="I113" s="38" t="str">
        <x:v>P0</x:v>
      </x:c>
      <x:c r="J113" s="38" t="str">
        <x:v>TODO</x:v>
      </x:c>
      <x:c r="K113" s="39" t="n">
        <x:f>IF(J113="DONE",1,IF(J113="REVIEW",0.8,IF(J113="DOING",0.5,0)))</x:f>
        <x:v>0</x:v>
      </x:c>
      <x:c r="L113" s="40"/>
      <x:c r="M113" s="40"/>
      <x:c r="N113" s="37" t="str"/>
    </x:row>
    <x:row r="114" ht="44" customHeight="1">
      <x:c r="A114" s="18" t="str">
        <x:v>P3-10</x:v>
      </x:c>
      <x:c r="B114" s="18" t="str">
        <x:v>Phase 3 - UCI Ingestion</x:v>
      </x:c>
      <x:c r="C114" s="18" t="str">
        <x:v>Ingestion module</x:v>
      </x:c>
      <x:c r="D114" s="37" t="str">
        <x:v>Viết module ingest UCI độc lập với DAG</x:v>
      </x:c>
      <x:c r="E114" s="38" t="str">
        <x:v>A</x:v>
      </x:c>
      <x:c r="F114" s="38" t="str">
        <x:v>B</x:v>
      </x:c>
      <x:c r="G114" s="37" t="str">
        <x:v>P3-03 đến P3-09</x:v>
      </x:c>
      <x:c r="H114" s="37" t="str">
        <x:v>Module validate rồi upload; có thể chạy ngoài Airflow</x:v>
      </x:c>
      <x:c r="I114" s="38" t="str">
        <x:v>P0</x:v>
      </x:c>
      <x:c r="J114" s="38" t="str">
        <x:v>TODO</x:v>
      </x:c>
      <x:c r="K114" s="39" t="n">
        <x:f>IF(J114="DONE",1,IF(J114="REVIEW",0.8,IF(J114="DOING",0.5,0)))</x:f>
        <x:v>0</x:v>
      </x:c>
      <x:c r="L114" s="40"/>
      <x:c r="M114" s="40"/>
      <x:c r="N114" s="37" t="str"/>
    </x:row>
    <x:row r="115" ht="44" customHeight="1">
      <x:c r="A115" s="18" t="str">
        <x:v>P3-11</x:v>
      </x:c>
      <x:c r="B115" s="18" t="str">
        <x:v>Phase 3 - UCI Ingestion</x:v>
      </x:c>
      <x:c r="C115" s="18" t="str">
        <x:v>Airflow DAG</x:v>
      </x:c>
      <x:c r="D115" s="37" t="str">
        <x:v>Tạo DAG ingest_uci_files</x:v>
      </x:c>
      <x:c r="E115" s="38" t="str">
        <x:v>A</x:v>
      </x:c>
      <x:c r="F115" s="38" t="str">
        <x:v>B</x:v>
      </x:c>
      <x:c r="G115" s="37" t="str">
        <x:v>P2-24, P3-10</x:v>
      </x:c>
      <x:c r="H115" s="37" t="str">
        <x:v>DAG file ngắn, gọi module Python thay vì chứa cleaning</x:v>
      </x:c>
      <x:c r="I115" s="38" t="str">
        <x:v>P0</x:v>
      </x:c>
      <x:c r="J115" s="38" t="str">
        <x:v>TODO</x:v>
      </x:c>
      <x:c r="K115" s="39" t="n">
        <x:f>IF(J115="DONE",1,IF(J115="REVIEW",0.8,IF(J115="DOING",0.5,0)))</x:f>
        <x:v>0</x:v>
      </x:c>
      <x:c r="L115" s="40"/>
      <x:c r="M115" s="40"/>
      <x:c r="N115" s="37" t="str"/>
    </x:row>
    <x:row r="116" ht="44" customHeight="1">
      <x:c r="A116" s="18" t="str">
        <x:v>P3-12</x:v>
      </x:c>
      <x:c r="B116" s="18" t="str">
        <x:v>Phase 3 - UCI Ingestion</x:v>
      </x:c>
      <x:c r="C116" s="18" t="str">
        <x:v>Airflow DAG</x:v>
      </x:c>
      <x:c r="D116" s="37" t="str">
        <x:v>Cấu hình task dependency, retry và logging</x:v>
      </x:c>
      <x:c r="E116" s="38" t="str">
        <x:v>A</x:v>
      </x:c>
      <x:c r="F116" s="38" t="str">
        <x:v>B</x:v>
      </x:c>
      <x:c r="G116" s="37" t="str">
        <x:v>P3-11</x:v>
      </x:c>
      <x:c r="H116" s="37" t="str">
        <x:v>Retry hợp lý; log chỉ rõ file, station và object path</x:v>
      </x:c>
      <x:c r="I116" s="38" t="str">
        <x:v>P0</x:v>
      </x:c>
      <x:c r="J116" s="38" t="str">
        <x:v>TODO</x:v>
      </x:c>
      <x:c r="K116" s="39" t="n">
        <x:f>IF(J116="DONE",1,IF(J116="REVIEW",0.8,IF(J116="DOING",0.5,0)))</x:f>
        <x:v>0</x:v>
      </x:c>
      <x:c r="L116" s="40"/>
      <x:c r="M116" s="40"/>
      <x:c r="N116" s="37" t="str"/>
    </x:row>
    <x:row r="117" ht="44" customHeight="1">
      <x:c r="A117" s="18" t="str">
        <x:v>P3-13</x:v>
      </x:c>
      <x:c r="B117" s="18" t="str">
        <x:v>Phase 3 - UCI Ingestion</x:v>
      </x:c>
      <x:c r="C117" s="18" t="str">
        <x:v>Vertical slice</x:v>
      </x:c>
      <x:c r="D117" s="37" t="str">
        <x:v>Trigger ingest một station qua Airflow</x:v>
      </x:c>
      <x:c r="E117" s="38" t="str">
        <x:v>A</x:v>
      </x:c>
      <x:c r="F117" s="38" t="str">
        <x:v>B</x:v>
      </x:c>
      <x:c r="G117" s="37" t="str">
        <x:v>P3-12</x:v>
      </x:c>
      <x:c r="H117" s="37" t="str">
        <x:v>Task success và raw object xuất hiện trong MinIO</x:v>
      </x:c>
      <x:c r="I117" s="38" t="str">
        <x:v>P0</x:v>
      </x:c>
      <x:c r="J117" s="38" t="str">
        <x:v>TODO</x:v>
      </x:c>
      <x:c r="K117" s="39" t="n">
        <x:f>IF(J117="DONE",1,IF(J117="REVIEW",0.8,IF(J117="DOING",0.5,0)))</x:f>
        <x:v>0</x:v>
      </x:c>
      <x:c r="L117" s="40"/>
      <x:c r="M117" s="40"/>
      <x:c r="N117" s="37" t="str"/>
    </x:row>
    <x:row r="118" ht="44" customHeight="1">
      <x:c r="A118" s="18" t="str">
        <x:v>P3-14</x:v>
      </x:c>
      <x:c r="B118" s="18" t="str">
        <x:v>Phase 3 - UCI Ingestion</x:v>
      </x:c>
      <x:c r="C118" s="18" t="str">
        <x:v>Raw integrity</x:v>
      </x:c>
      <x:c r="D118" s="37" t="str">
        <x:v>So sánh byte hoặc checksum source với object raw</x:v>
      </x:c>
      <x:c r="E118" s="38" t="str">
        <x:v>B</x:v>
      </x:c>
      <x:c r="F118" s="38" t="str">
        <x:v>A</x:v>
      </x:c>
      <x:c r="G118" s="37" t="str">
        <x:v>P3-13</x:v>
      </x:c>
      <x:c r="H118" s="37" t="str">
        <x:v>Raw object giữ nguyên nội dung source</x:v>
      </x:c>
      <x:c r="I118" s="38" t="str">
        <x:v>P0</x:v>
      </x:c>
      <x:c r="J118" s="38" t="str">
        <x:v>TODO</x:v>
      </x:c>
      <x:c r="K118" s="39" t="n">
        <x:f>IF(J118="DONE",1,IF(J118="REVIEW",0.8,IF(J118="DOING",0.5,0)))</x:f>
        <x:v>0</x:v>
      </x:c>
      <x:c r="L118" s="40"/>
      <x:c r="M118" s="40"/>
      <x:c r="N118" s="37" t="str"/>
    </x:row>
    <x:row r="119" ht="44" customHeight="1">
      <x:c r="A119" s="18" t="str">
        <x:v>P3-15</x:v>
      </x:c>
      <x:c r="B119" s="18" t="str">
        <x:v>Phase 3 - UCI Ingestion</x:v>
      </x:c>
      <x:c r="C119" s="18" t="str">
        <x:v>Lineage</x:v>
      </x:c>
      <x:c r="D119" s="37" t="str">
        <x:v>Kiểm tra metadata và truy vết object về source</x:v>
      </x:c>
      <x:c r="E119" s="38" t="str">
        <x:v>B</x:v>
      </x:c>
      <x:c r="F119" s="38" t="str">
        <x:v>A</x:v>
      </x:c>
      <x:c r="G119" s="37" t="str">
        <x:v>P3-13</x:v>
      </x:c>
      <x:c r="H119" s="37" t="str">
        <x:v>Object xác định được source file và lần ingestion</x:v>
      </x:c>
      <x:c r="I119" s="38" t="str">
        <x:v>P0</x:v>
      </x:c>
      <x:c r="J119" s="38" t="str">
        <x:v>TODO</x:v>
      </x:c>
      <x:c r="K119" s="39" t="n">
        <x:f>IF(J119="DONE",1,IF(J119="REVIEW",0.8,IF(J119="DOING",0.5,0)))</x:f>
        <x:v>0</x:v>
      </x:c>
      <x:c r="L119" s="40"/>
      <x:c r="M119" s="40"/>
      <x:c r="N119" s="37" t="str"/>
    </x:row>
    <x:row r="120" ht="44" customHeight="1">
      <x:c r="A120" s="18" t="str">
        <x:v>P3-16</x:v>
      </x:c>
      <x:c r="B120" s="18" t="str">
        <x:v>Phase 3 - UCI Ingestion</x:v>
      </x:c>
      <x:c r="C120" s="18" t="str">
        <x:v>Idempotency</x:v>
      </x:c>
      <x:c r="D120" s="37" t="str">
        <x:v>Chạy lại cùng một station</x:v>
      </x:c>
      <x:c r="E120" s="38" t="str">
        <x:v>B</x:v>
      </x:c>
      <x:c r="F120" s="38" t="str">
        <x:v>A</x:v>
      </x:c>
      <x:c r="G120" s="37" t="str">
        <x:v>P3-13, P3-09</x:v>
      </x:c>
      <x:c r="H120" s="37" t="str">
        <x:v>Rerun không gây lỗi và không tạo bản ghi sai</x:v>
      </x:c>
      <x:c r="I120" s="38" t="str">
        <x:v>P0</x:v>
      </x:c>
      <x:c r="J120" s="38" t="str">
        <x:v>TODO</x:v>
      </x:c>
      <x:c r="K120" s="39" t="n">
        <x:f>IF(J120="DONE",1,IF(J120="REVIEW",0.8,IF(J120="DOING",0.5,0)))</x:f>
        <x:v>0</x:v>
      </x:c>
      <x:c r="L120" s="40"/>
      <x:c r="M120" s="40"/>
      <x:c r="N120" s="37" t="str"/>
    </x:row>
    <x:row r="121" ht="44" customHeight="1">
      <x:c r="A121" s="18" t="str">
        <x:v>P3-17</x:v>
      </x:c>
      <x:c r="B121" s="18" t="str">
        <x:v>Phase 3 - UCI Ingestion</x:v>
      </x:c>
      <x:c r="C121" s="18" t="str">
        <x:v>Failure test</x:v>
      </x:c>
      <x:c r="D121" s="37" t="str">
        <x:v>Thử tình huống thiếu file hoặc sai schema</x:v>
      </x:c>
      <x:c r="E121" s="38" t="str">
        <x:v>B</x:v>
      </x:c>
      <x:c r="F121" s="38" t="str">
        <x:v>A</x:v>
      </x:c>
      <x:c r="G121" s="37" t="str">
        <x:v>P3-12</x:v>
      </x:c>
      <x:c r="H121" s="37" t="str">
        <x:v>DAG fail đúng chỗ và log nêu nguyên nhân</x:v>
      </x:c>
      <x:c r="I121" s="38" t="str">
        <x:v>P1</x:v>
      </x:c>
      <x:c r="J121" s="38" t="str">
        <x:v>TODO</x:v>
      </x:c>
      <x:c r="K121" s="39" t="n">
        <x:f>IF(J121="DONE",1,IF(J121="REVIEW",0.8,IF(J121="DOING",0.5,0)))</x:f>
        <x:v>0</x:v>
      </x:c>
      <x:c r="L121" s="40"/>
      <x:c r="M121" s="40"/>
      <x:c r="N121" s="37" t="str"/>
    </x:row>
    <x:row r="122" ht="44" customHeight="1">
      <x:c r="A122" s="18" t="str">
        <x:v>P3-18</x:v>
      </x:c>
      <x:c r="B122" s="18" t="str">
        <x:v>Phase 3 - UCI Ingestion</x:v>
      </x:c>
      <x:c r="C122" s="18" t="str">
        <x:v>Monitoring</x:v>
      </x:c>
      <x:c r="D122" s="37" t="str">
        <x:v>Kiểm tra task status và log trên Airflow UI</x:v>
      </x:c>
      <x:c r="E122" s="38" t="str">
        <x:v>B</x:v>
      </x:c>
      <x:c r="F122" s="38" t="str">
        <x:v>A</x:v>
      </x:c>
      <x:c r="G122" s="37" t="str">
        <x:v>P3-13, P3-17</x:v>
      </x:c>
      <x:c r="H122" s="37" t="str">
        <x:v>Success/failure dễ phân biệt và truy vấn được log</x:v>
      </x:c>
      <x:c r="I122" s="38" t="str">
        <x:v>P1</x:v>
      </x:c>
      <x:c r="J122" s="38" t="str">
        <x:v>TODO</x:v>
      </x:c>
      <x:c r="K122" s="39" t="n">
        <x:f>IF(J122="DONE",1,IF(J122="REVIEW",0.8,IF(J122="DOING",0.5,0)))</x:f>
        <x:v>0</x:v>
      </x:c>
      <x:c r="L122" s="40"/>
      <x:c r="M122" s="40"/>
      <x:c r="N122" s="37" t="str"/>
    </x:row>
    <x:row r="123" ht="44" customHeight="1">
      <x:c r="A123" s="18" t="str">
        <x:v>P3-19</x:v>
      </x:c>
      <x:c r="B123" s="18" t="str">
        <x:v>Phase 3 - UCI Ingestion</x:v>
      </x:c>
      <x:c r="C123" s="18" t="str">
        <x:v>Scale 12 station</x:v>
      </x:c>
      <x:c r="D123" s="37" t="str">
        <x:v>Tạo inventory/config để loop qua 12 station</x:v>
      </x:c>
      <x:c r="E123" s="38" t="str">
        <x:v>A</x:v>
      </x:c>
      <x:c r="F123" s="38" t="str">
        <x:v>B</x:v>
      </x:c>
      <x:c r="G123" s="37" t="str">
        <x:v>P3-16</x:v>
      </x:c>
      <x:c r="H123" s="37" t="str">
        <x:v>Không copy code riêng cho từng station</x:v>
      </x:c>
      <x:c r="I123" s="38" t="str">
        <x:v>P0</x:v>
      </x:c>
      <x:c r="J123" s="38" t="str">
        <x:v>TODO</x:v>
      </x:c>
      <x:c r="K123" s="39" t="n">
        <x:f>IF(J123="DONE",1,IF(J123="REVIEW",0.8,IF(J123="DOING",0.5,0)))</x:f>
        <x:v>0</x:v>
      </x:c>
      <x:c r="L123" s="40"/>
      <x:c r="M123" s="40"/>
      <x:c r="N123" s="37" t="str"/>
    </x:row>
    <x:row r="124" ht="44" customHeight="1">
      <x:c r="A124" s="18" t="str">
        <x:v>P3-20</x:v>
      </x:c>
      <x:c r="B124" s="18" t="str">
        <x:v>Phase 3 - UCI Ingestion</x:v>
      </x:c>
      <x:c r="C124" s="18" t="str">
        <x:v>Scale 12 station</x:v>
      </x:c>
      <x:c r="D124" s="37" t="str">
        <x:v>Ingest đủ 12 station</x:v>
      </x:c>
      <x:c r="E124" s="38" t="str">
        <x:v>A</x:v>
      </x:c>
      <x:c r="F124" s="38" t="str">
        <x:v>B</x:v>
      </x:c>
      <x:c r="G124" s="37" t="str">
        <x:v>P3-19</x:v>
      </x:c>
      <x:c r="H124" s="37" t="str">
        <x:v>12 source file được ingest thành công</x:v>
      </x:c>
      <x:c r="I124" s="38" t="str">
        <x:v>P0</x:v>
      </x:c>
      <x:c r="J124" s="38" t="str">
        <x:v>TODO</x:v>
      </x:c>
      <x:c r="K124" s="39" t="n">
        <x:f>IF(J124="DONE",1,IF(J124="REVIEW",0.8,IF(J124="DOING",0.5,0)))</x:f>
        <x:v>0</x:v>
      </x:c>
      <x:c r="L124" s="40"/>
      <x:c r="M124" s="40"/>
      <x:c r="N124" s="37" t="str"/>
    </x:row>
    <x:row r="125" ht="44" customHeight="1">
      <x:c r="A125" s="18" t="str">
        <x:v>P3-21</x:v>
      </x:c>
      <x:c r="B125" s="18" t="str">
        <x:v>Phase 3 - UCI Ingestion</x:v>
      </x:c>
      <x:c r="C125" s="18" t="str">
        <x:v>Reconciliation</x:v>
      </x:c>
      <x:c r="D125" s="37" t="str">
        <x:v>Đối chiếu inventory với raw objects trong MinIO</x:v>
      </x:c>
      <x:c r="E125" s="38" t="str">
        <x:v>B</x:v>
      </x:c>
      <x:c r="F125" s="38" t="str">
        <x:v>A</x:v>
      </x:c>
      <x:c r="G125" s="37" t="str">
        <x:v>P3-20</x:v>
      </x:c>
      <x:c r="H125" s="37" t="str">
        <x:v>Đủ station, không thiếu và không trùng ngoài chiến lược version</x:v>
      </x:c>
      <x:c r="I125" s="38" t="str">
        <x:v>P0</x:v>
      </x:c>
      <x:c r="J125" s="38" t="str">
        <x:v>TODO</x:v>
      </x:c>
      <x:c r="K125" s="39" t="n">
        <x:f>IF(J125="DONE",1,IF(J125="REVIEW",0.8,IF(J125="DOING",0.5,0)))</x:f>
        <x:v>0</x:v>
      </x:c>
      <x:c r="L125" s="40"/>
      <x:c r="M125" s="40"/>
      <x:c r="N125" s="37" t="str"/>
    </x:row>
    <x:row r="126" ht="44" customHeight="1">
      <x:c r="A126" s="18" t="str">
        <x:v>P3-22</x:v>
      </x:c>
      <x:c r="B126" s="18" t="str">
        <x:v>Phase 3 - UCI Ingestion</x:v>
      </x:c>
      <x:c r="C126" s="18" t="str">
        <x:v>Raw integrity</x:v>
      </x:c>
      <x:c r="D126" s="37" t="str">
        <x:v>Xác nhận raw zone không rename, drop, impute hoặc aggregate</x:v>
      </x:c>
      <x:c r="E126" s="38" t="str">
        <x:v>B</x:v>
      </x:c>
      <x:c r="F126" s="38" t="str">
        <x:v>A</x:v>
      </x:c>
      <x:c r="G126" s="37" t="str">
        <x:v>P3-20</x:v>
      </x:c>
      <x:c r="H126" s="37" t="str">
        <x:v>Raw giữ cấu trúc và nội dung nguồn</x:v>
      </x:c>
      <x:c r="I126" s="38" t="str">
        <x:v>P0</x:v>
      </x:c>
      <x:c r="J126" s="38" t="str">
        <x:v>TODO</x:v>
      </x:c>
      <x:c r="K126" s="39" t="n">
        <x:f>IF(J126="DONE",1,IF(J126="REVIEW",0.8,IF(J126="DOING",0.5,0)))</x:f>
        <x:v>0</x:v>
      </x:c>
      <x:c r="L126" s="40"/>
      <x:c r="M126" s="40"/>
      <x:c r="N126" s="37" t="str"/>
    </x:row>
    <x:row r="127" ht="44" customHeight="1">
      <x:c r="A127" s="18" t="str">
        <x:v>P3-23</x:v>
      </x:c>
      <x:c r="B127" s="18" t="str">
        <x:v>Phase 3 - UCI Ingestion</x:v>
      </x:c>
      <x:c r="C127" s="18" t="str">
        <x:v>Tái tạo</x:v>
      </x:c>
      <x:c r="D127" s="37" t="str">
        <x:v>Thành viên B tự trigger và kiểm tra ingestion</x:v>
      </x:c>
      <x:c r="E127" s="38" t="str">
        <x:v>B</x:v>
      </x:c>
      <x:c r="F127" s="38" t="str">
        <x:v>A</x:v>
      </x:c>
      <x:c r="G127" s="37" t="str">
        <x:v>P3-21, P3-22</x:v>
      </x:c>
      <x:c r="H127" s="37" t="str">
        <x:v>Có thể chạy lại mà không cần hướng dẫn trực tiếp</x:v>
      </x:c>
      <x:c r="I127" s="38" t="str">
        <x:v>P1</x:v>
      </x:c>
      <x:c r="J127" s="38" t="str">
        <x:v>TODO</x:v>
      </x:c>
      <x:c r="K127" s="39" t="n">
        <x:f>IF(J127="DONE",1,IF(J127="REVIEW",0.8,IF(J127="DOING",0.5,0)))</x:f>
        <x:v>0</x:v>
      </x:c>
      <x:c r="L127" s="40"/>
      <x:c r="M127" s="40"/>
      <x:c r="N127" s="37" t="str"/>
    </x:row>
    <x:row r="128" ht="44" customHeight="1">
      <x:c r="A128" s="18" t="str">
        <x:v>P3-24</x:v>
      </x:c>
      <x:c r="B128" s="18" t="str">
        <x:v>Phase 3 - UCI Ingestion</x:v>
      </x:c>
      <x:c r="C128" s="18" t="str">
        <x:v>Checkpoint</x:v>
      </x:c>
      <x:c r="D128" s="37" t="str">
        <x:v>Cập nhật README, evidence và PROGRESS.md Phase 3</x:v>
      </x:c>
      <x:c r="E128" s="38" t="str">
        <x:v>B</x:v>
      </x:c>
      <x:c r="F128" s="38" t="str">
        <x:v>A</x:v>
      </x:c>
      <x:c r="G128" s="37" t="str">
        <x:v>P3-23</x:v>
      </x:c>
      <x:c r="H128" s="37" t="str">
        <x:v>Có bằng chứng 1 station, rerun và 12 station</x:v>
      </x:c>
      <x:c r="I128" s="38" t="str">
        <x:v>P1</x:v>
      </x:c>
      <x:c r="J128" s="38" t="str">
        <x:v>TODO</x:v>
      </x:c>
      <x:c r="K128" s="39" t="n">
        <x:f>IF(J128="DONE",1,IF(J128="REVIEW",0.8,IF(J128="DOING",0.5,0)))</x:f>
        <x:v>0</x:v>
      </x:c>
      <x:c r="L128" s="40"/>
      <x:c r="M128" s="40"/>
      <x:c r="N128" s="37" t="str"/>
    </x:row>
    <x:row r="129" ht="44" customHeight="1">
      <x:c r="A129" s="18" t="str">
        <x:v>P4-01</x:v>
      </x:c>
      <x:c r="B129" s="18" t="str">
        <x:v>Phase 4 - Processing</x:v>
      </x:c>
      <x:c r="C129" s="18" t="str">
        <x:v>Canonical schema</x:v>
      </x:c>
      <x:c r="D129" s="37" t="str">
        <x:v>Chốt canonical schema từ kết quả profiling</x:v>
      </x:c>
      <x:c r="E129" s="38" t="str">
        <x:v>A+B</x:v>
      </x:c>
      <x:c r="F129" s="38" t="str">
        <x:v>A+B</x:v>
      </x:c>
      <x:c r="G129" s="37" t="str">
        <x:v>P3-24, P1-48</x:v>
      </x:c>
      <x:c r="H129" s="37" t="str">
        <x:v>Danh sách cột, kiểu dữ liệu và nullable được ghi lại</x:v>
      </x:c>
      <x:c r="I129" s="38" t="str">
        <x:v>P0</x:v>
      </x:c>
      <x:c r="J129" s="38" t="str">
        <x:v>TODO</x:v>
      </x:c>
      <x:c r="K129" s="39" t="n">
        <x:f>IF(J129="DONE",1,IF(J129="REVIEW",0.8,IF(J129="DOING",0.5,0)))</x:f>
        <x:v>0</x:v>
      </x:c>
      <x:c r="L129" s="40"/>
      <x:c r="M129" s="40"/>
      <x:c r="N129" s="37" t="str"/>
    </x:row>
    <x:row r="130" ht="44" customHeight="1">
      <x:c r="A130" s="18" t="str">
        <x:v>P4-02</x:v>
      </x:c>
      <x:c r="B130" s="18" t="str">
        <x:v>Phase 4 - Processing</x:v>
      </x:c>
      <x:c r="C130" s="18" t="str">
        <x:v>Canonical schema</x:v>
      </x:c>
      <x:c r="D130" s="37" t="str">
        <x:v>Tạo mapping source column sang canonical column</x:v>
      </x:c>
      <x:c r="E130" s="38" t="str">
        <x:v>B</x:v>
      </x:c>
      <x:c r="F130" s="38" t="str">
        <x:v>A</x:v>
      </x:c>
      <x:c r="G130" s="37" t="str">
        <x:v>P4-01</x:v>
      </x:c>
      <x:c r="H130" s="37" t="str">
        <x:v>Mapping đầy đủ và không đổi raw source</x:v>
      </x:c>
      <x:c r="I130" s="38" t="str">
        <x:v>P0</x:v>
      </x:c>
      <x:c r="J130" s="38" t="str">
        <x:v>TODO</x:v>
      </x:c>
      <x:c r="K130" s="39" t="n">
        <x:f>IF(J130="DONE",1,IF(J130="REVIEW",0.8,IF(J130="DOING",0.5,0)))</x:f>
        <x:v>0</x:v>
      </x:c>
      <x:c r="L130" s="40"/>
      <x:c r="M130" s="40"/>
      <x:c r="N130" s="37" t="str"/>
    </x:row>
    <x:row r="131" ht="44" customHeight="1">
      <x:c r="A131" s="18" t="str">
        <x:v>P4-03</x:v>
      </x:c>
      <x:c r="B131" s="18" t="str">
        <x:v>Phase 4 - Processing</x:v>
      </x:c>
      <x:c r="C131" s="18" t="str">
        <x:v>Processing module</x:v>
      </x:c>
      <x:c r="D131" s="37" t="str">
        <x:v>Tạo module Python processing độc lập với DAG</x:v>
      </x:c>
      <x:c r="E131" s="38" t="str">
        <x:v>A</x:v>
      </x:c>
      <x:c r="F131" s="38" t="str">
        <x:v>B</x:v>
      </x:c>
      <x:c r="G131" s="37" t="str">
        <x:v>P4-01, P4-02</x:v>
      </x:c>
      <x:c r="H131" s="37" t="str">
        <x:v>Có entry point xử lý một raw object</x:v>
      </x:c>
      <x:c r="I131" s="38" t="str">
        <x:v>P0</x:v>
      </x:c>
      <x:c r="J131" s="38" t="str">
        <x:v>TODO</x:v>
      </x:c>
      <x:c r="K131" s="39" t="n">
        <x:f>IF(J131="DONE",1,IF(J131="REVIEW",0.8,IF(J131="DOING",0.5,0)))</x:f>
        <x:v>0</x:v>
      </x:c>
      <x:c r="L131" s="40"/>
      <x:c r="M131" s="40"/>
      <x:c r="N131" s="37" t="str"/>
    </x:row>
    <x:row r="132" ht="44" customHeight="1">
      <x:c r="A132" s="18" t="str">
        <x:v>P4-04</x:v>
      </x:c>
      <x:c r="B132" s="18" t="str">
        <x:v>Phase 4 - Processing</x:v>
      </x:c>
      <x:c r="C132" s="18" t="str">
        <x:v>Đọc dữ liệu</x:v>
      </x:c>
      <x:c r="D132" s="37" t="str">
        <x:v>Viết hàm đọc raw object từ MinIO</x:v>
      </x:c>
      <x:c r="E132" s="38" t="str">
        <x:v>A</x:v>
      </x:c>
      <x:c r="F132" s="38" t="str">
        <x:v>B</x:v>
      </x:c>
      <x:c r="G132" s="37" t="str">
        <x:v>P3-20, P4-03</x:v>
      </x:c>
      <x:c r="H132" s="37" t="str">
        <x:v>Đọc đúng object và metadata lineage</x:v>
      </x:c>
      <x:c r="I132" s="38" t="str">
        <x:v>P0</x:v>
      </x:c>
      <x:c r="J132" s="38" t="str">
        <x:v>TODO</x:v>
      </x:c>
      <x:c r="K132" s="39" t="n">
        <x:f>IF(J132="DONE",1,IF(J132="REVIEW",0.8,IF(J132="DOING",0.5,0)))</x:f>
        <x:v>0</x:v>
      </x:c>
      <x:c r="L132" s="40"/>
      <x:c r="M132" s="40"/>
      <x:c r="N132" s="37" t="str"/>
    </x:row>
    <x:row r="133" ht="44" customHeight="1">
      <x:c r="A133" s="18" t="str">
        <x:v>P4-05</x:v>
      </x:c>
      <x:c r="B133" s="18" t="str">
        <x:v>Phase 4 - Processing</x:v>
      </x:c>
      <x:c r="C133" s="18" t="str">
        <x:v>Timestamp</x:v>
      </x:c>
      <x:c r="D133" s="37" t="str">
        <x:v>Ghép year, month, day, hour thành timestamp chuẩn</x:v>
      </x:c>
      <x:c r="E133" s="38" t="str">
        <x:v>A</x:v>
      </x:c>
      <x:c r="F133" s="38" t="str">
        <x:v>B</x:v>
      </x:c>
      <x:c r="G133" s="37" t="str">
        <x:v>P4-04</x:v>
      </x:c>
      <x:c r="H133" s="37" t="str">
        <x:v>Timestamp parse đúng và có timezone policy rõ</x:v>
      </x:c>
      <x:c r="I133" s="38" t="str">
        <x:v>P0</x:v>
      </x:c>
      <x:c r="J133" s="38" t="str">
        <x:v>TODO</x:v>
      </x:c>
      <x:c r="K133" s="39" t="n">
        <x:f>IF(J133="DONE",1,IF(J133="REVIEW",0.8,IF(J133="DOING",0.5,0)))</x:f>
        <x:v>0</x:v>
      </x:c>
      <x:c r="L133" s="40"/>
      <x:c r="M133" s="40"/>
      <x:c r="N133" s="37" t="str"/>
    </x:row>
    <x:row r="134" ht="44" customHeight="1">
      <x:c r="A134" s="18" t="str">
        <x:v>P4-06</x:v>
      </x:c>
      <x:c r="B134" s="18" t="str">
        <x:v>Phase 4 - Processing</x:v>
      </x:c>
      <x:c r="C134" s="18" t="str">
        <x:v>Timestamp</x:v>
      </x:c>
      <x:c r="D134" s="37" t="str">
        <x:v>Xử lý record có timestamp invalid</x:v>
      </x:c>
      <x:c r="E134" s="38" t="str">
        <x:v>A</x:v>
      </x:c>
      <x:c r="F134" s="38" t="str">
        <x:v>B</x:v>
      </x:c>
      <x:c r="G134" s="37" t="str">
        <x:v>P4-05</x:v>
      </x:c>
      <x:c r="H134" s="37" t="str">
        <x:v>Invalid record được flag hoặc quarantine, không xóa âm thầm</x:v>
      </x:c>
      <x:c r="I134" s="38" t="str">
        <x:v>P0</x:v>
      </x:c>
      <x:c r="J134" s="38" t="str">
        <x:v>TODO</x:v>
      </x:c>
      <x:c r="K134" s="39" t="n">
        <x:f>IF(J134="DONE",1,IF(J134="REVIEW",0.8,IF(J134="DOING",0.5,0)))</x:f>
        <x:v>0</x:v>
      </x:c>
      <x:c r="L134" s="40"/>
      <x:c r="M134" s="40"/>
      <x:c r="N134" s="37" t="str"/>
    </x:row>
    <x:row r="135" ht="44" customHeight="1">
      <x:c r="A135" s="18" t="str">
        <x:v>P4-07</x:v>
      </x:c>
      <x:c r="B135" s="18" t="str">
        <x:v>Phase 4 - Processing</x:v>
      </x:c>
      <x:c r="C135" s="18" t="str">
        <x:v>Datatype</x:v>
      </x:c>
      <x:c r="D135" s="37" t="str">
        <x:v>Cast numeric và text theo canonical schema</x:v>
      </x:c>
      <x:c r="E135" s="38" t="str">
        <x:v>A</x:v>
      </x:c>
      <x:c r="F135" s="38" t="str">
        <x:v>B</x:v>
      </x:c>
      <x:c r="G135" s="37" t="str">
        <x:v>P4-04, P4-01</x:v>
      </x:c>
      <x:c r="H135" s="37" t="str">
        <x:v>Datatype đúng; lỗi cast được phát hiện</x:v>
      </x:c>
      <x:c r="I135" s="38" t="str">
        <x:v>P0</x:v>
      </x:c>
      <x:c r="J135" s="38" t="str">
        <x:v>TODO</x:v>
      </x:c>
      <x:c r="K135" s="39" t="n">
        <x:f>IF(J135="DONE",1,IF(J135="REVIEW",0.8,IF(J135="DOING",0.5,0)))</x:f>
        <x:v>0</x:v>
      </x:c>
      <x:c r="L135" s="40"/>
      <x:c r="M135" s="40"/>
      <x:c r="N135" s="37" t="str"/>
    </x:row>
    <x:row r="136" ht="44" customHeight="1">
      <x:c r="A136" s="18" t="str">
        <x:v>P4-08</x:v>
      </x:c>
      <x:c r="B136" s="18" t="str">
        <x:v>Phase 4 - Processing</x:v>
      </x:c>
      <x:c r="C136" s="18" t="str">
        <x:v>Station</x:v>
      </x:c>
      <x:c r="D136" s="37" t="str">
        <x:v>Chuẩn hóa station name</x:v>
      </x:c>
      <x:c r="E136" s="38" t="str">
        <x:v>B</x:v>
      </x:c>
      <x:c r="F136" s="38" t="str">
        <x:v>A</x:v>
      </x:c>
      <x:c r="G136" s="37" t="str">
        <x:v>P4-04, P4-02</x:v>
      </x:c>
      <x:c r="H136" s="37" t="str">
        <x:v>Tên station dùng một quy ước thống nhất</x:v>
      </x:c>
      <x:c r="I136" s="38" t="str">
        <x:v>P1</x:v>
      </x:c>
      <x:c r="J136" s="38" t="str">
        <x:v>TODO</x:v>
      </x:c>
      <x:c r="K136" s="39" t="n">
        <x:f>IF(J136="DONE",1,IF(J136="REVIEW",0.8,IF(J136="DOING",0.5,0)))</x:f>
        <x:v>0</x:v>
      </x:c>
      <x:c r="L136" s="40"/>
      <x:c r="M136" s="40"/>
      <x:c r="N136" s="37" t="str"/>
    </x:row>
    <x:row r="137" ht="44" customHeight="1">
      <x:c r="A137" s="18" t="str">
        <x:v>P4-09</x:v>
      </x:c>
      <x:c r="B137" s="18" t="str">
        <x:v>Phase 4 - Processing</x:v>
      </x:c>
      <x:c r="C137" s="18" t="str">
        <x:v>Units</x:v>
      </x:c>
      <x:c r="D137" s="37" t="str">
        <x:v>Xác minh đơn vị của pollutant và weather fields</x:v>
      </x:c>
      <x:c r="E137" s="38" t="str">
        <x:v>B</x:v>
      </x:c>
      <x:c r="F137" s="38" t="str">
        <x:v>A</x:v>
      </x:c>
      <x:c r="G137" s="37" t="str">
        <x:v>P4-01</x:v>
      </x:c>
      <x:c r="H137" s="37" t="str">
        <x:v>Đơn vị được ghi rõ; chưa đổi nếu không có bằng chứng</x:v>
      </x:c>
      <x:c r="I137" s="38" t="str">
        <x:v>P0</x:v>
      </x:c>
      <x:c r="J137" s="38" t="str">
        <x:v>TODO</x:v>
      </x:c>
      <x:c r="K137" s="39" t="n">
        <x:f>IF(J137="DONE",1,IF(J137="REVIEW",0.8,IF(J137="DOING",0.5,0)))</x:f>
        <x:v>0</x:v>
      </x:c>
      <x:c r="L137" s="40"/>
      <x:c r="M137" s="40"/>
      <x:c r="N137" s="37" t="str"/>
    </x:row>
    <x:row r="138" ht="44" customHeight="1">
      <x:c r="A138" s="18" t="str">
        <x:v>P4-10</x:v>
      </x:c>
      <x:c r="B138" s="18" t="str">
        <x:v>Phase 4 - Processing</x:v>
      </x:c>
      <x:c r="C138" s="18" t="str">
        <x:v>Data quality</x:v>
      </x:c>
      <x:c r="D138" s="37" t="str">
        <x:v>Tạo rule phát hiện giá trị pollutant hoặc wind speed âm</x:v>
      </x:c>
      <x:c r="E138" s="38" t="str">
        <x:v>A</x:v>
      </x:c>
      <x:c r="F138" s="38" t="str">
        <x:v>B</x:v>
      </x:c>
      <x:c r="G138" s="37" t="str">
        <x:v>P4-07, P4-09</x:v>
      </x:c>
      <x:c r="H138" s="37" t="str">
        <x:v>Giá trị vi phạm được flag, không bị drop tự động</x:v>
      </x:c>
      <x:c r="I138" s="38" t="str">
        <x:v>P0</x:v>
      </x:c>
      <x:c r="J138" s="38" t="str">
        <x:v>TODO</x:v>
      </x:c>
      <x:c r="K138" s="39" t="n">
        <x:f>IF(J138="DONE",1,IF(J138="REVIEW",0.8,IF(J138="DOING",0.5,0)))</x:f>
        <x:v>0</x:v>
      </x:c>
      <x:c r="L138" s="40"/>
      <x:c r="M138" s="40"/>
      <x:c r="N138" s="37" t="str"/>
    </x:row>
    <x:row r="139" ht="44" customHeight="1">
      <x:c r="A139" s="18" t="str">
        <x:v>P4-11</x:v>
      </x:c>
      <x:c r="B139" s="18" t="str">
        <x:v>Phase 4 - Processing</x:v>
      </x:c>
      <x:c r="C139" s="18" t="str">
        <x:v>Data quality</x:v>
      </x:c>
      <x:c r="D139" s="37" t="str">
        <x:v>Phát hiện duplicate theo station + timestamp</x:v>
      </x:c>
      <x:c r="E139" s="38" t="str">
        <x:v>A</x:v>
      </x:c>
      <x:c r="F139" s="38" t="str">
        <x:v>B</x:v>
      </x:c>
      <x:c r="G139" s="37" t="str">
        <x:v>P4-05, P4-08</x:v>
      </x:c>
      <x:c r="H139" s="37" t="str">
        <x:v>Có duplicate flag và duplicate count</x:v>
      </x:c>
      <x:c r="I139" s="38" t="str">
        <x:v>P0</x:v>
      </x:c>
      <x:c r="J139" s="38" t="str">
        <x:v>TODO</x:v>
      </x:c>
      <x:c r="K139" s="39" t="n">
        <x:f>IF(J139="DONE",1,IF(J139="REVIEW",0.8,IF(J139="DOING",0.5,0)))</x:f>
        <x:v>0</x:v>
      </x:c>
      <x:c r="L139" s="40"/>
      <x:c r="M139" s="40"/>
      <x:c r="N139" s="37" t="str"/>
    </x:row>
    <x:row r="140" ht="44" customHeight="1">
      <x:c r="A140" s="18" t="str">
        <x:v>P4-12</x:v>
      </x:c>
      <x:c r="B140" s="18" t="str">
        <x:v>Phase 4 - Processing</x:v>
      </x:c>
      <x:c r="C140" s="18" t="str">
        <x:v>Data quality</x:v>
      </x:c>
      <x:c r="D140" s="37" t="str">
        <x:v>Tạo missing flags và missing summary</x:v>
      </x:c>
      <x:c r="E140" s="38" t="str">
        <x:v>B</x:v>
      </x:c>
      <x:c r="F140" s="38" t="str">
        <x:v>A</x:v>
      </x:c>
      <x:c r="G140" s="37" t="str">
        <x:v>P4-07</x:v>
      </x:c>
      <x:c r="H140" s="37" t="str">
        <x:v>Missing được giữ và thống kê; chưa impute mặc định</x:v>
      </x:c>
      <x:c r="I140" s="38" t="str">
        <x:v>P0</x:v>
      </x:c>
      <x:c r="J140" s="38" t="str">
        <x:v>TODO</x:v>
      </x:c>
      <x:c r="K140" s="39" t="n">
        <x:f>IF(J140="DONE",1,IF(J140="REVIEW",0.8,IF(J140="DOING",0.5,0)))</x:f>
        <x:v>0</x:v>
      </x:c>
      <x:c r="L140" s="40"/>
      <x:c r="M140" s="40"/>
      <x:c r="N140" s="37" t="str"/>
    </x:row>
    <x:row r="141" ht="44" customHeight="1">
      <x:c r="A141" s="18" t="str">
        <x:v>P4-13</x:v>
      </x:c>
      <x:c r="B141" s="18" t="str">
        <x:v>Phase 4 - Processing</x:v>
      </x:c>
      <x:c r="C141" s="18" t="str">
        <x:v>Lineage</x:v>
      </x:c>
      <x:c r="D141" s="37" t="str">
        <x:v>Bổ sung source_file, source_object, checksum và processed_at</x:v>
      </x:c>
      <x:c r="E141" s="38" t="str">
        <x:v>A</x:v>
      </x:c>
      <x:c r="F141" s="38" t="str">
        <x:v>B</x:v>
      </x:c>
      <x:c r="G141" s="37" t="str">
        <x:v>P4-04, P3-07</x:v>
      </x:c>
      <x:c r="H141" s="37" t="str">
        <x:v>Processed row truy vết được về raw snapshot</x:v>
      </x:c>
      <x:c r="I141" s="38" t="str">
        <x:v>P0</x:v>
      </x:c>
      <x:c r="J141" s="38" t="str">
        <x:v>TODO</x:v>
      </x:c>
      <x:c r="K141" s="39" t="n">
        <x:f>IF(J141="DONE",1,IF(J141="REVIEW",0.8,IF(J141="DOING",0.5,0)))</x:f>
        <x:v>0</x:v>
      </x:c>
      <x:c r="L141" s="40"/>
      <x:c r="M141" s="40"/>
      <x:c r="N141" s="37" t="str"/>
    </x:row>
    <x:row r="142" ht="44" customHeight="1">
      <x:c r="A142" s="18" t="str">
        <x:v>P4-14</x:v>
      </x:c>
      <x:c r="B142" s="18" t="str">
        <x:v>Phase 4 - Processing</x:v>
      </x:c>
      <x:c r="C142" s="18" t="str">
        <x:v>Quarantine</x:v>
      </x:c>
      <x:c r="D142" s="37" t="str">
        <x:v>Chốt candidate rule cho quarantine</x:v>
      </x:c>
      <x:c r="E142" s="38" t="str">
        <x:v>A+B</x:v>
      </x:c>
      <x:c r="F142" s="38" t="str">
        <x:v>A+B</x:v>
      </x:c>
      <x:c r="G142" s="37" t="str">
        <x:v>P4-06, P4-10, P4-11</x:v>
      </x:c>
      <x:c r="H142" s="37" t="str">
        <x:v>Chỉ lỗi nghiêm trọng vào quarantine; policy được ghi lại</x:v>
      </x:c>
      <x:c r="I142" s="38" t="str">
        <x:v>P1</x:v>
      </x:c>
      <x:c r="J142" s="38" t="str">
        <x:v>TODO</x:v>
      </x:c>
      <x:c r="K142" s="39" t="n">
        <x:f>IF(J142="DONE",1,IF(J142="REVIEW",0.8,IF(J142="DOING",0.5,0)))</x:f>
        <x:v>0</x:v>
      </x:c>
      <x:c r="L142" s="40"/>
      <x:c r="M142" s="40"/>
      <x:c r="N142" s="37" t="str"/>
    </x:row>
    <x:row r="143" ht="44" customHeight="1">
      <x:c r="A143" s="18" t="str">
        <x:v>P4-15</x:v>
      </x:c>
      <x:c r="B143" s="18" t="str">
        <x:v>Phase 4 - Processing</x:v>
      </x:c>
      <x:c r="C143" s="18" t="str">
        <x:v>Output format</x:v>
      </x:c>
      <x:c r="D143" s="37" t="str">
        <x:v>Chuyển canonical DataFrame sang Parquet</x:v>
      </x:c>
      <x:c r="E143" s="38" t="str">
        <x:v>A</x:v>
      </x:c>
      <x:c r="F143" s="38" t="str">
        <x:v>B</x:v>
      </x:c>
      <x:c r="G143" s="37" t="str">
        <x:v>P4-05 đến P4-14</x:v>
      </x:c>
      <x:c r="H143" s="37" t="str">
        <x:v>Parquet đọc lại đúng schema và row count</x:v>
      </x:c>
      <x:c r="I143" s="38" t="str">
        <x:v>P0</x:v>
      </x:c>
      <x:c r="J143" s="38" t="str">
        <x:v>TODO</x:v>
      </x:c>
      <x:c r="K143" s="39" t="n">
        <x:f>IF(J143="DONE",1,IF(J143="REVIEW",0.8,IF(J143="DOING",0.5,0)))</x:f>
        <x:v>0</x:v>
      </x:c>
      <x:c r="L143" s="40"/>
      <x:c r="M143" s="40"/>
      <x:c r="N143" s="37" t="str"/>
    </x:row>
    <x:row r="144" ht="44" customHeight="1">
      <x:c r="A144" s="18" t="str">
        <x:v>P4-16</x:v>
      </x:c>
      <x:c r="B144" s="18" t="str">
        <x:v>Phase 4 - Processing</x:v>
      </x:c>
      <x:c r="C144" s="18" t="str">
        <x:v>Processed zone</x:v>
      </x:c>
      <x:c r="D144" s="37" t="str">
        <x:v>Chốt object path processed theo station và partition vừa đủ</x:v>
      </x:c>
      <x:c r="E144" s="38" t="str">
        <x:v>A+B</x:v>
      </x:c>
      <x:c r="F144" s="38" t="str">
        <x:v>A+B</x:v>
      </x:c>
      <x:c r="G144" s="37" t="str">
        <x:v>P4-15</x:v>
      </x:c>
      <x:c r="H144" s="37" t="str">
        <x:v>Path rõ; tránh tạo quá nhiều file nhỏ</x:v>
      </x:c>
      <x:c r="I144" s="38" t="str">
        <x:v>P1</x:v>
      </x:c>
      <x:c r="J144" s="38" t="str">
        <x:v>TODO</x:v>
      </x:c>
      <x:c r="K144" s="39" t="n">
        <x:f>IF(J144="DONE",1,IF(J144="REVIEW",0.8,IF(J144="DOING",0.5,0)))</x:f>
        <x:v>0</x:v>
      </x:c>
      <x:c r="L144" s="40"/>
      <x:c r="M144" s="40"/>
      <x:c r="N144" s="37" t="str"/>
    </x:row>
    <x:row r="145" ht="44" customHeight="1">
      <x:c r="A145" s="18" t="str">
        <x:v>P4-17</x:v>
      </x:c>
      <x:c r="B145" s="18" t="str">
        <x:v>Phase 4 - Processing</x:v>
      </x:c>
      <x:c r="C145" s="18" t="str">
        <x:v>Vertical slice</x:v>
      </x:c>
      <x:c r="D145" s="37" t="str">
        <x:v>Xử lý Wanshouxigong từ raw sang processed</x:v>
      </x:c>
      <x:c r="E145" s="38" t="str">
        <x:v>A</x:v>
      </x:c>
      <x:c r="F145" s="38" t="str">
        <x:v>B</x:v>
      </x:c>
      <x:c r="G145" s="37" t="str">
        <x:v>P4-15, P4-16</x:v>
      </x:c>
      <x:c r="H145" s="37" t="str">
        <x:v>Processed Parquet của 1 station xuất hiện trong MinIO</x:v>
      </x:c>
      <x:c r="I145" s="38" t="str">
        <x:v>P0</x:v>
      </x:c>
      <x:c r="J145" s="38" t="str">
        <x:v>TODO</x:v>
      </x:c>
      <x:c r="K145" s="39" t="n">
        <x:f>IF(J145="DONE",1,IF(J145="REVIEW",0.8,IF(J145="DOING",0.5,0)))</x:f>
        <x:v>0</x:v>
      </x:c>
      <x:c r="L145" s="40"/>
      <x:c r="M145" s="40"/>
      <x:c r="N145" s="37" t="str"/>
    </x:row>
    <x:row r="146" ht="44" customHeight="1">
      <x:c r="A146" s="18" t="str">
        <x:v>P4-18</x:v>
      </x:c>
      <x:c r="B146" s="18" t="str">
        <x:v>Phase 4 - Processing</x:v>
      </x:c>
      <x:c r="C146" s="18" t="str">
        <x:v>Reconciliation</x:v>
      </x:c>
      <x:c r="D146" s="37" t="str">
        <x:v>Đối chiếu row count raw, processed và quarantine</x:v>
      </x:c>
      <x:c r="E146" s="38" t="str">
        <x:v>B</x:v>
      </x:c>
      <x:c r="F146" s="38" t="str">
        <x:v>A</x:v>
      </x:c>
      <x:c r="G146" s="37" t="str">
        <x:v>P4-17</x:v>
      </x:c>
      <x:c r="H146" s="37" t="str">
        <x:v>Chênh lệch được giải thích đầy đủ</x:v>
      </x:c>
      <x:c r="I146" s="38" t="str">
        <x:v>P0</x:v>
      </x:c>
      <x:c r="J146" s="38" t="str">
        <x:v>TODO</x:v>
      </x:c>
      <x:c r="K146" s="39" t="n">
        <x:f>IF(J146="DONE",1,IF(J146="REVIEW",0.8,IF(J146="DOING",0.5,0)))</x:f>
        <x:v>0</x:v>
      </x:c>
      <x:c r="L146" s="40"/>
      <x:c r="M146" s="40"/>
      <x:c r="N146" s="37" t="str"/>
    </x:row>
    <x:row r="147" ht="44" customHeight="1">
      <x:c r="A147" s="18" t="str">
        <x:v>P4-19</x:v>
      </x:c>
      <x:c r="B147" s="18" t="str">
        <x:v>Phase 4 - Processing</x:v>
      </x:c>
      <x:c r="C147" s="18" t="str">
        <x:v>Raw protection</x:v>
      </x:c>
      <x:c r="D147" s="37" t="str">
        <x:v>Xác nhận raw object không bị thay đổi sau processing</x:v>
      </x:c>
      <x:c r="E147" s="38" t="str">
        <x:v>B</x:v>
      </x:c>
      <x:c r="F147" s="38" t="str">
        <x:v>A</x:v>
      </x:c>
      <x:c r="G147" s="37" t="str">
        <x:v>P4-17</x:v>
      </x:c>
      <x:c r="H147" s="37" t="str">
        <x:v>Checksum raw trước và sau giống nhau</x:v>
      </x:c>
      <x:c r="I147" s="38" t="str">
        <x:v>P0</x:v>
      </x:c>
      <x:c r="J147" s="38" t="str">
        <x:v>TODO</x:v>
      </x:c>
      <x:c r="K147" s="39" t="n">
        <x:f>IF(J147="DONE",1,IF(J147="REVIEW",0.8,IF(J147="DOING",0.5,0)))</x:f>
        <x:v>0</x:v>
      </x:c>
      <x:c r="L147" s="40"/>
      <x:c r="M147" s="40"/>
      <x:c r="N147" s="37" t="str"/>
    </x:row>
    <x:row r="148" ht="44" customHeight="1">
      <x:c r="A148" s="18" t="str">
        <x:v>P4-20</x:v>
      </x:c>
      <x:c r="B148" s="18" t="str">
        <x:v>Phase 4 - Processing</x:v>
      </x:c>
      <x:c r="C148" s="18" t="str">
        <x:v>Reproducibility</x:v>
      </x:c>
      <x:c r="D148" s="37" t="str">
        <x:v>Chạy lại processing một station</x:v>
      </x:c>
      <x:c r="E148" s="38" t="str">
        <x:v>B</x:v>
      </x:c>
      <x:c r="F148" s="38" t="str">
        <x:v>A</x:v>
      </x:c>
      <x:c r="G148" s="37" t="str">
        <x:v>P4-17</x:v>
      </x:c>
      <x:c r="H148" s="37" t="str">
        <x:v>Cùng raw snapshot tạo kết quả nhất quán</x:v>
      </x:c>
      <x:c r="I148" s="38" t="str">
        <x:v>P0</x:v>
      </x:c>
      <x:c r="J148" s="38" t="str">
        <x:v>TODO</x:v>
      </x:c>
      <x:c r="K148" s="39" t="n">
        <x:f>IF(J148="DONE",1,IF(J148="REVIEW",0.8,IF(J148="DOING",0.5,0)))</x:f>
        <x:v>0</x:v>
      </x:c>
      <x:c r="L148" s="40"/>
      <x:c r="M148" s="40"/>
      <x:c r="N148" s="37" t="str"/>
    </x:row>
    <x:row r="149" ht="44" customHeight="1">
      <x:c r="A149" s="18" t="str">
        <x:v>P4-21</x:v>
      </x:c>
      <x:c r="B149" s="18" t="str">
        <x:v>Phase 4 - Processing</x:v>
      </x:c>
      <x:c r="C149" s="18" t="str">
        <x:v>Testing</x:v>
      </x:c>
      <x:c r="D149" s="37" t="str">
        <x:v>Viết test cho mapping, timestamp và datatype</x:v>
      </x:c>
      <x:c r="E149" s="38" t="str">
        <x:v>A</x:v>
      </x:c>
      <x:c r="F149" s="38" t="str">
        <x:v>B</x:v>
      </x:c>
      <x:c r="G149" s="37" t="str">
        <x:v>P4-02, P4-05, P4-07</x:v>
      </x:c>
      <x:c r="H149" s="37" t="str">
        <x:v>Test normal case và invalid case đều chạy</x:v>
      </x:c>
      <x:c r="I149" s="38" t="str">
        <x:v>P1</x:v>
      </x:c>
      <x:c r="J149" s="38" t="str">
        <x:v>TODO</x:v>
      </x:c>
      <x:c r="K149" s="39" t="n">
        <x:f>IF(J149="DONE",1,IF(J149="REVIEW",0.8,IF(J149="DOING",0.5,0)))</x:f>
        <x:v>0</x:v>
      </x:c>
      <x:c r="L149" s="40"/>
      <x:c r="M149" s="40"/>
      <x:c r="N149" s="37" t="str"/>
    </x:row>
    <x:row r="150" ht="44" customHeight="1">
      <x:c r="A150" s="18" t="str">
        <x:v>P4-22</x:v>
      </x:c>
      <x:c r="B150" s="18" t="str">
        <x:v>Phase 4 - Processing</x:v>
      </x:c>
      <x:c r="C150" s="18" t="str">
        <x:v>Testing</x:v>
      </x:c>
      <x:c r="D150" s="37" t="str">
        <x:v>Viết test cho duplicate, missing và negative flags</x:v>
      </x:c>
      <x:c r="E150" s="38" t="str">
        <x:v>B</x:v>
      </x:c>
      <x:c r="F150" s="38" t="str">
        <x:v>A</x:v>
      </x:c>
      <x:c r="G150" s="37" t="str">
        <x:v>P4-10 đến P4-12</x:v>
      </x:c>
      <x:c r="H150" s="37" t="str">
        <x:v>Rule quality có test dữ liệu nhỏ dễ kiểm tra</x:v>
      </x:c>
      <x:c r="I150" s="38" t="str">
        <x:v>P1</x:v>
      </x:c>
      <x:c r="J150" s="38" t="str">
        <x:v>TODO</x:v>
      </x:c>
      <x:c r="K150" s="39" t="n">
        <x:f>IF(J150="DONE",1,IF(J150="REVIEW",0.8,IF(J150="DOING",0.5,0)))</x:f>
        <x:v>0</x:v>
      </x:c>
      <x:c r="L150" s="40"/>
      <x:c r="M150" s="40"/>
      <x:c r="N150" s="37" t="str"/>
    </x:row>
    <x:row r="151" ht="44" customHeight="1">
      <x:c r="A151" s="18" t="str">
        <x:v>P4-23</x:v>
      </x:c>
      <x:c r="B151" s="18" t="str">
        <x:v>Phase 4 - Processing</x:v>
      </x:c>
      <x:c r="C151" s="18" t="str">
        <x:v>Airflow DAG</x:v>
      </x:c>
      <x:c r="D151" s="37" t="str">
        <x:v>Thêm processing task gọi module Python</x:v>
      </x:c>
      <x:c r="E151" s="38" t="str">
        <x:v>A</x:v>
      </x:c>
      <x:c r="F151" s="38" t="str">
        <x:v>B</x:v>
      </x:c>
      <x:c r="G151" s="37" t="str">
        <x:v>P3-12, P4-17</x:v>
      </x:c>
      <x:c r="H151" s="37" t="str">
        <x:v>DAG không chứa khối Pandas dài</x:v>
      </x:c>
      <x:c r="I151" s="38" t="str">
        <x:v>P0</x:v>
      </x:c>
      <x:c r="J151" s="38" t="str">
        <x:v>TODO</x:v>
      </x:c>
      <x:c r="K151" s="39" t="n">
        <x:f>IF(J151="DONE",1,IF(J151="REVIEW",0.8,IF(J151="DOING",0.5,0)))</x:f>
        <x:v>0</x:v>
      </x:c>
      <x:c r="L151" s="40"/>
      <x:c r="M151" s="40"/>
      <x:c r="N151" s="37" t="str"/>
    </x:row>
    <x:row r="152" ht="44" customHeight="1">
      <x:c r="A152" s="18" t="str">
        <x:v>P4-24</x:v>
      </x:c>
      <x:c r="B152" s="18" t="str">
        <x:v>Phase 4 - Processing</x:v>
      </x:c>
      <x:c r="C152" s="18" t="str">
        <x:v>Airflow DAG</x:v>
      </x:c>
      <x:c r="D152" s="37" t="str">
        <x:v>Thiết lập dependency ingest thành công rồi mới processing</x:v>
      </x:c>
      <x:c r="E152" s="38" t="str">
        <x:v>A</x:v>
      </x:c>
      <x:c r="F152" s="38" t="str">
        <x:v>B</x:v>
      </x:c>
      <x:c r="G152" s="37" t="str">
        <x:v>P4-23</x:v>
      </x:c>
      <x:c r="H152" s="37" t="str">
        <x:v>Raw chưa có thì processing không chạy sai</x:v>
      </x:c>
      <x:c r="I152" s="38" t="str">
        <x:v>P0</x:v>
      </x:c>
      <x:c r="J152" s="38" t="str">
        <x:v>TODO</x:v>
      </x:c>
      <x:c r="K152" s="39" t="n">
        <x:f>IF(J152="DONE",1,IF(J152="REVIEW",0.8,IF(J152="DOING",0.5,0)))</x:f>
        <x:v>0</x:v>
      </x:c>
      <x:c r="L152" s="40"/>
      <x:c r="M152" s="40"/>
      <x:c r="N152" s="37" t="str"/>
    </x:row>
    <x:row r="153" ht="44" customHeight="1">
      <x:c r="A153" s="18" t="str">
        <x:v>P4-25</x:v>
      </x:c>
      <x:c r="B153" s="18" t="str">
        <x:v>Phase 4 - Processing</x:v>
      </x:c>
      <x:c r="C153" s="18" t="str">
        <x:v>Failure test</x:v>
      </x:c>
      <x:c r="D153" s="37" t="str">
        <x:v>Kiểm tra task fail khi schema hoặc timestamp không hợp lệ nghiêm trọng</x:v>
      </x:c>
      <x:c r="E153" s="38" t="str">
        <x:v>B</x:v>
      </x:c>
      <x:c r="F153" s="38" t="str">
        <x:v>A</x:v>
      </x:c>
      <x:c r="G153" s="37" t="str">
        <x:v>P4-23, P4-24</x:v>
      </x:c>
      <x:c r="H153" s="37" t="str">
        <x:v>Airflow hiển thị failure và log rõ nguyên nhân</x:v>
      </x:c>
      <x:c r="I153" s="38" t="str">
        <x:v>P1</x:v>
      </x:c>
      <x:c r="J153" s="38" t="str">
        <x:v>TODO</x:v>
      </x:c>
      <x:c r="K153" s="39" t="n">
        <x:f>IF(J153="DONE",1,IF(J153="REVIEW",0.8,IF(J153="DOING",0.5,0)))</x:f>
        <x:v>0</x:v>
      </x:c>
      <x:c r="L153" s="40"/>
      <x:c r="M153" s="40"/>
      <x:c r="N153" s="37" t="str"/>
    </x:row>
    <x:row r="154" ht="44" customHeight="1">
      <x:c r="A154" s="18" t="str">
        <x:v>P4-26</x:v>
      </x:c>
      <x:c r="B154" s="18" t="str">
        <x:v>Phase 4 - Processing</x:v>
      </x:c>
      <x:c r="C154" s="18" t="str">
        <x:v>Scale 12 station</x:v>
      </x:c>
      <x:c r="D154" s="37" t="str">
        <x:v>Chạy processing đủ 12 station</x:v>
      </x:c>
      <x:c r="E154" s="38" t="str">
        <x:v>A</x:v>
      </x:c>
      <x:c r="F154" s="38" t="str">
        <x:v>B</x:v>
      </x:c>
      <x:c r="G154" s="37" t="str">
        <x:v>P4-20 đến P4-25</x:v>
      </x:c>
      <x:c r="H154" s="37" t="str">
        <x:v>12 station có processed output</x:v>
      </x:c>
      <x:c r="I154" s="38" t="str">
        <x:v>P0</x:v>
      </x:c>
      <x:c r="J154" s="38" t="str">
        <x:v>TODO</x:v>
      </x:c>
      <x:c r="K154" s="39" t="n">
        <x:f>IF(J154="DONE",1,IF(J154="REVIEW",0.8,IF(J154="DOING",0.5,0)))</x:f>
        <x:v>0</x:v>
      </x:c>
      <x:c r="L154" s="40"/>
      <x:c r="M154" s="40"/>
      <x:c r="N154" s="37" t="str"/>
    </x:row>
    <x:row r="155" ht="44" customHeight="1">
      <x:c r="A155" s="18" t="str">
        <x:v>P4-27</x:v>
      </x:c>
      <x:c r="B155" s="18" t="str">
        <x:v>Phase 4 - Processing</x:v>
      </x:c>
      <x:c r="C155" s="18" t="str">
        <x:v>Schema consistency</x:v>
      </x:c>
      <x:c r="D155" s="37" t="str">
        <x:v>Kiểm tra canonical schema giữa 12 station</x:v>
      </x:c>
      <x:c r="E155" s="38" t="str">
        <x:v>B</x:v>
      </x:c>
      <x:c r="F155" s="38" t="str">
        <x:v>A</x:v>
      </x:c>
      <x:c r="G155" s="37" t="str">
        <x:v>P4-26</x:v>
      </x:c>
      <x:c r="H155" s="37" t="str">
        <x:v>Schema và datatype nhất quán hoặc khác biệt được giải thích</x:v>
      </x:c>
      <x:c r="I155" s="38" t="str">
        <x:v>P0</x:v>
      </x:c>
      <x:c r="J155" s="38" t="str">
        <x:v>TODO</x:v>
      </x:c>
      <x:c r="K155" s="39" t="n">
        <x:f>IF(J155="DONE",1,IF(J155="REVIEW",0.8,IF(J155="DOING",0.5,0)))</x:f>
        <x:v>0</x:v>
      </x:c>
      <x:c r="L155" s="40"/>
      <x:c r="M155" s="40"/>
      <x:c r="N155" s="37" t="str"/>
    </x:row>
    <x:row r="156" ht="44" customHeight="1">
      <x:c r="A156" s="18" t="str">
        <x:v>P4-28</x:v>
      </x:c>
      <x:c r="B156" s="18" t="str">
        <x:v>Phase 4 - Processing</x:v>
      </x:c>
      <x:c r="C156" s="18" t="str">
        <x:v>Quality summary</x:v>
      </x:c>
      <x:c r="D156" s="37" t="str">
        <x:v>Tổng hợp duplicate, invalid, missing và quarantine toàn dataset</x:v>
      </x:c>
      <x:c r="E156" s="38" t="str">
        <x:v>B</x:v>
      </x:c>
      <x:c r="F156" s="38" t="str">
        <x:v>A</x:v>
      </x:c>
      <x:c r="G156" s="37" t="str">
        <x:v>P4-26, P4-27</x:v>
      </x:c>
      <x:c r="H156" s="37" t="str">
        <x:v>Có bảng data quality summary theo station</x:v>
      </x:c>
      <x:c r="I156" s="38" t="str">
        <x:v>P0</x:v>
      </x:c>
      <x:c r="J156" s="38" t="str">
        <x:v>TODO</x:v>
      </x:c>
      <x:c r="K156" s="39" t="n">
        <x:f>IF(J156="DONE",1,IF(J156="REVIEW",0.8,IF(J156="DOING",0.5,0)))</x:f>
        <x:v>0</x:v>
      </x:c>
      <x:c r="L156" s="40"/>
      <x:c r="M156" s="40"/>
      <x:c r="N156" s="37" t="str"/>
    </x:row>
    <x:row r="157" ht="44" customHeight="1">
      <x:c r="A157" s="18" t="str">
        <x:v>P4-29</x:v>
      </x:c>
      <x:c r="B157" s="18" t="str">
        <x:v>Phase 4 - Processing</x:v>
      </x:c>
      <x:c r="C157" s="18" t="str">
        <x:v>Tái tạo</x:v>
      </x:c>
      <x:c r="D157" s="37" t="str">
        <x:v>Thành viên B tự chạy raw → processed cho một station</x:v>
      </x:c>
      <x:c r="E157" s="38" t="str">
        <x:v>B</x:v>
      </x:c>
      <x:c r="F157" s="38" t="str">
        <x:v>A</x:v>
      </x:c>
      <x:c r="G157" s="37" t="str">
        <x:v>P4-28</x:v>
      </x:c>
      <x:c r="H157" s="37" t="str">
        <x:v>Pipeline chạy lại được từ repo</x:v>
      </x:c>
      <x:c r="I157" s="38" t="str">
        <x:v>P1</x:v>
      </x:c>
      <x:c r="J157" s="38" t="str">
        <x:v>TODO</x:v>
      </x:c>
      <x:c r="K157" s="39" t="n">
        <x:f>IF(J157="DONE",1,IF(J157="REVIEW",0.8,IF(J157="DOING",0.5,0)))</x:f>
        <x:v>0</x:v>
      </x:c>
      <x:c r="L157" s="40"/>
      <x:c r="M157" s="40"/>
      <x:c r="N157" s="37" t="str"/>
    </x:row>
    <x:row r="158" ht="44" customHeight="1">
      <x:c r="A158" s="18" t="str">
        <x:v>P4-30</x:v>
      </x:c>
      <x:c r="B158" s="18" t="str">
        <x:v>Phase 4 - Processing</x:v>
      </x:c>
      <x:c r="C158" s="18" t="str">
        <x:v>Checkpoint</x:v>
      </x:c>
      <x:c r="D158" s="37" t="str">
        <x:v>Cập nhật DATA_GUIDE, README và PROGRESS.md Phase 4</x:v>
      </x:c>
      <x:c r="E158" s="38" t="str">
        <x:v>A+B</x:v>
      </x:c>
      <x:c r="F158" s="38" t="str">
        <x:v>A+B</x:v>
      </x:c>
      <x:c r="G158" s="37" t="str">
        <x:v>P4-29</x:v>
      </x:c>
      <x:c r="H158" s="37" t="str">
        <x:v>Quyết định xử lý và evidence được ghi lại</x:v>
      </x:c>
      <x:c r="I158" s="38" t="str">
        <x:v>P0</x:v>
      </x:c>
      <x:c r="J158" s="38" t="str">
        <x:v>TODO</x:v>
      </x:c>
      <x:c r="K158" s="39" t="n">
        <x:f>IF(J158="DONE",1,IF(J158="REVIEW",0.8,IF(J158="DOING",0.5,0)))</x:f>
        <x:v>0</x:v>
      </x:c>
      <x:c r="L158" s="40"/>
      <x:c r="M158" s="40"/>
      <x:c r="N158" s="37" t="str"/>
    </x:row>
    <x:row r="159" ht="44" customHeight="1">
      <x:c r="A159" s="18" t="str">
        <x:v>P5-01</x:v>
      </x:c>
      <x:c r="B159" s="18" t="str">
        <x:v>Phase 5 - Open-Meteo</x:v>
      </x:c>
      <x:c r="C159" s="18" t="str">
        <x:v>Điều kiện đầu vào</x:v>
      </x:c>
      <x:c r="D159" s="37" t="str">
        <x:v>Xác nhận processed data và quality summary Phase 4 đã hoàn tất</x:v>
      </x:c>
      <x:c r="E159" s="38" t="str">
        <x:v>A+B</x:v>
      </x:c>
      <x:c r="F159" s="38" t="str">
        <x:v>A+B</x:v>
      </x:c>
      <x:c r="G159" s="37" t="str">
        <x:v>P4-30</x:v>
      </x:c>
      <x:c r="H159" s="37" t="str">
        <x:v>Phase 4 DONE; dữ liệu UCI weather sẵn sàng để so sánh</x:v>
      </x:c>
      <x:c r="I159" s="38" t="str">
        <x:v>P0</x:v>
      </x:c>
      <x:c r="J159" s="38" t="str">
        <x:v>TODO</x:v>
      </x:c>
      <x:c r="K159" s="39" t="n">
        <x:f>IF(J159="DONE",1,IF(J159="REVIEW",0.8,IF(J159="DOING",0.5,0)))</x:f>
        <x:v>0</x:v>
      </x:c>
      <x:c r="L159" s="40"/>
      <x:c r="M159" s="40"/>
      <x:c r="N159" s="37" t="str"/>
    </x:row>
    <x:row r="160" ht="44" customHeight="1">
      <x:c r="A160" s="18" t="str">
        <x:v>P5-02</x:v>
      </x:c>
      <x:c r="B160" s="18" t="str">
        <x:v>Phase 5 - Open-Meteo</x:v>
      </x:c>
      <x:c r="C160" s="18" t="str">
        <x:v>Station metadata</x:v>
      </x:c>
      <x:c r="D160" s="37" t="str">
        <x:v>Chốt schema station reference</x:v>
      </x:c>
      <x:c r="E160" s="38" t="str">
        <x:v>B</x:v>
      </x:c>
      <x:c r="F160" s="38" t="str">
        <x:v>A</x:v>
      </x:c>
      <x:c r="G160" s="37" t="str">
        <x:v>P5-01</x:v>
      </x:c>
      <x:c r="H160" s="37" t="str">
        <x:v>Có station_code, station_name, latitude, longitude và nguồn xác minh</x:v>
      </x:c>
      <x:c r="I160" s="38" t="str">
        <x:v>P0</x:v>
      </x:c>
      <x:c r="J160" s="38" t="str">
        <x:v>TODO</x:v>
      </x:c>
      <x:c r="K160" s="39" t="n">
        <x:f>IF(J160="DONE",1,IF(J160="REVIEW",0.8,IF(J160="DOING",0.5,0)))</x:f>
        <x:v>0</x:v>
      </x:c>
      <x:c r="L160" s="40"/>
      <x:c r="M160" s="40"/>
      <x:c r="N160" s="37" t="str"/>
    </x:row>
    <x:row r="161" ht="44" customHeight="1">
      <x:c r="A161" s="18" t="str">
        <x:v>P5-03</x:v>
      </x:c>
      <x:c r="B161" s="18" t="str">
        <x:v>Phase 5 - Open-Meteo</x:v>
      </x:c>
      <x:c r="C161" s="18" t="str">
        <x:v>Station metadata</x:v>
      </x:c>
      <x:c r="D161" s="37" t="str">
        <x:v>Thu thập tọa độ Wanshouxigong từ nguồn đáng tin cậy</x:v>
      </x:c>
      <x:c r="E161" s="38" t="str">
        <x:v>B</x:v>
      </x:c>
      <x:c r="F161" s="38" t="str">
        <x:v>A</x:v>
      </x:c>
      <x:c r="G161" s="37" t="str">
        <x:v>P5-02</x:v>
      </x:c>
      <x:c r="H161" s="37" t="str">
        <x:v>Có latitude, longitude và citation</x:v>
      </x:c>
      <x:c r="I161" s="38" t="str">
        <x:v>P0</x:v>
      </x:c>
      <x:c r="J161" s="38" t="str">
        <x:v>TODO</x:v>
      </x:c>
      <x:c r="K161" s="39" t="n">
        <x:f>IF(J161="DONE",1,IF(J161="REVIEW",0.8,IF(J161="DOING",0.5,0)))</x:f>
        <x:v>0</x:v>
      </x:c>
      <x:c r="L161" s="40"/>
      <x:c r="M161" s="40"/>
      <x:c r="N161" s="37" t="str"/>
    </x:row>
    <x:row r="162" ht="44" customHeight="1">
      <x:c r="A162" s="18" t="str">
        <x:v>P5-04</x:v>
      </x:c>
      <x:c r="B162" s="18" t="str">
        <x:v>Phase 5 - Open-Meteo</x:v>
      </x:c>
      <x:c r="C162" s="18" t="str">
        <x:v>Station metadata</x:v>
      </x:c>
      <x:c r="D162" s="37" t="str">
        <x:v>Kiểm tra tọa độ trên bản đồ và đối chiếu tên station</x:v>
      </x:c>
      <x:c r="E162" s="38" t="str">
        <x:v>A</x:v>
      </x:c>
      <x:c r="F162" s="38" t="str">
        <x:v>B</x:v>
      </x:c>
      <x:c r="G162" s="37" t="str">
        <x:v>P5-03</x:v>
      </x:c>
      <x:c r="H162" s="37" t="str">
        <x:v>Không nhầm địa điểm; mức độ chắc chắn được ghi lại</x:v>
      </x:c>
      <x:c r="I162" s="38" t="str">
        <x:v>P0</x:v>
      </x:c>
      <x:c r="J162" s="38" t="str">
        <x:v>TODO</x:v>
      </x:c>
      <x:c r="K162" s="39" t="n">
        <x:f>IF(J162="DONE",1,IF(J162="REVIEW",0.8,IF(J162="DOING",0.5,0)))</x:f>
        <x:v>0</x:v>
      </x:c>
      <x:c r="L162" s="40"/>
      <x:c r="M162" s="40"/>
      <x:c r="N162" s="37" t="str"/>
    </x:row>
    <x:row r="163" ht="44" customHeight="1">
      <x:c r="A163" s="18" t="str">
        <x:v>P5-05</x:v>
      </x:c>
      <x:c r="B163" s="18" t="str">
        <x:v>Phase 5 - Open-Meteo</x:v>
      </x:c>
      <x:c r="C163" s="18" t="str">
        <x:v>Station metadata</x:v>
      </x:c>
      <x:c r="D163" s="37" t="str">
        <x:v>Tạo station_reference.csv bản đầu</x:v>
      </x:c>
      <x:c r="E163" s="38" t="str">
        <x:v>B</x:v>
      </x:c>
      <x:c r="F163" s="38" t="str">
        <x:v>A</x:v>
      </x:c>
      <x:c r="G163" s="37" t="str">
        <x:v>P5-04</x:v>
      </x:c>
      <x:c r="H163" s="37" t="str">
        <x:v>File có ít nhất Wanshouxigong và nguồn metadata</x:v>
      </x:c>
      <x:c r="I163" s="38" t="str">
        <x:v>P0</x:v>
      </x:c>
      <x:c r="J163" s="38" t="str">
        <x:v>TODO</x:v>
      </x:c>
      <x:c r="K163" s="39" t="n">
        <x:f>IF(J163="DONE",1,IF(J163="REVIEW",0.8,IF(J163="DOING",0.5,0)))</x:f>
        <x:v>0</x:v>
      </x:c>
      <x:c r="L163" s="40"/>
      <x:c r="M163" s="40"/>
      <x:c r="N163" s="37" t="str"/>
    </x:row>
    <x:row r="164" ht="44" customHeight="1">
      <x:c r="A164" s="18" t="str">
        <x:v>P5-06</x:v>
      </x:c>
      <x:c r="B164" s="18" t="str">
        <x:v>Phase 5 - Open-Meteo</x:v>
      </x:c>
      <x:c r="C164" s="18" t="str">
        <x:v>Station metadata</x:v>
      </x:c>
      <x:c r="D164" s="37" t="str">
        <x:v>Đưa station reference vào MinIO reference zone</x:v>
      </x:c>
      <x:c r="E164" s="38" t="str">
        <x:v>A</x:v>
      </x:c>
      <x:c r="F164" s="38" t="str">
        <x:v>B</x:v>
      </x:c>
      <x:c r="G164" s="37" t="str">
        <x:v>P5-05</x:v>
      </x:c>
      <x:c r="H164" s="37" t="str">
        <x:v>Object reference/stations tồn tại và truy vết được</x:v>
      </x:c>
      <x:c r="I164" s="38" t="str">
        <x:v>P1</x:v>
      </x:c>
      <x:c r="J164" s="38" t="str">
        <x:v>TODO</x:v>
      </x:c>
      <x:c r="K164" s="39" t="n">
        <x:f>IF(J164="DONE",1,IF(J164="REVIEW",0.8,IF(J164="DOING",0.5,0)))</x:f>
        <x:v>0</x:v>
      </x:c>
      <x:c r="L164" s="40"/>
      <x:c r="M164" s="40"/>
      <x:c r="N164" s="37" t="str"/>
    </x:row>
    <x:row r="165" ht="44" customHeight="1">
      <x:c r="A165" s="18" t="str">
        <x:v>P5-07</x:v>
      </x:c>
      <x:c r="B165" s="18" t="str">
        <x:v>Phase 5 - Open-Meteo</x:v>
      </x:c>
      <x:c r="C165" s="18" t="str">
        <x:v>API design</x:v>
      </x:c>
      <x:c r="D165" s="37" t="str">
        <x:v>Chọn Open-Meteo Historical Weather API và endpoint phù hợp</x:v>
      </x:c>
      <x:c r="E165" s="38" t="str">
        <x:v>A</x:v>
      </x:c>
      <x:c r="F165" s="38" t="str">
        <x:v>B</x:v>
      </x:c>
      <x:c r="G165" s="37" t="str">
        <x:v>P5-03</x:v>
      </x:c>
      <x:c r="H165" s="37" t="str">
        <x:v>Endpoint và giới hạn sử dụng được ghi lại</x:v>
      </x:c>
      <x:c r="I165" s="38" t="str">
        <x:v>P0</x:v>
      </x:c>
      <x:c r="J165" s="38" t="str">
        <x:v>TODO</x:v>
      </x:c>
      <x:c r="K165" s="39" t="n">
        <x:f>IF(J165="DONE",1,IF(J165="REVIEW",0.8,IF(J165="DOING",0.5,0)))</x:f>
        <x:v>0</x:v>
      </x:c>
      <x:c r="L165" s="40"/>
      <x:c r="M165" s="40"/>
      <x:c r="N165" s="37" t="str"/>
    </x:row>
    <x:row r="166" ht="44" customHeight="1">
      <x:c r="A166" s="18" t="str">
        <x:v>P5-08</x:v>
      </x:c>
      <x:c r="B166" s="18" t="str">
        <x:v>Phase 5 - Open-Meteo</x:v>
      </x:c>
      <x:c r="C166" s="18" t="str">
        <x:v>API design</x:v>
      </x:c>
      <x:c r="D166" s="37" t="str">
        <x:v>Chốt timezone Asia/Shanghai, hourly variables và units</x:v>
      </x:c>
      <x:c r="E166" s="38" t="str">
        <x:v>A+B</x:v>
      </x:c>
      <x:c r="F166" s="38" t="str">
        <x:v>A+B</x:v>
      </x:c>
      <x:c r="G166" s="37" t="str">
        <x:v>P5-07</x:v>
      </x:c>
      <x:c r="H166" s="37" t="str">
        <x:v>Request config rõ; tên biến và đơn vị được document</x:v>
      </x:c>
      <x:c r="I166" s="38" t="str">
        <x:v>P0</x:v>
      </x:c>
      <x:c r="J166" s="38" t="str">
        <x:v>TODO</x:v>
      </x:c>
      <x:c r="K166" s="39" t="n">
        <x:f>IF(J166="DONE",1,IF(J166="REVIEW",0.8,IF(J166="DOING",0.5,0)))</x:f>
        <x:v>0</x:v>
      </x:c>
      <x:c r="L166" s="40"/>
      <x:c r="M166" s="40"/>
      <x:c r="N166" s="37" t="str"/>
    </x:row>
    <x:row r="167" ht="44" customHeight="1">
      <x:c r="A167" s="18" t="str">
        <x:v>P5-09</x:v>
      </x:c>
      <x:c r="B167" s="18" t="str">
        <x:v>Phase 5 - Open-Meteo</x:v>
      </x:c>
      <x:c r="C167" s="18" t="str">
        <x:v>Proof of concept</x:v>
      </x:c>
      <x:c r="D167" s="37" t="str">
        <x:v>Chọn khoảng thử nghiệm 1 tháng có dữ liệu UCI đầy đủ</x:v>
      </x:c>
      <x:c r="E167" s="38" t="str">
        <x:v>B</x:v>
      </x:c>
      <x:c r="F167" s="38" t="str">
        <x:v>A</x:v>
      </x:c>
      <x:c r="G167" s="37" t="str">
        <x:v>P5-01, P5-08</x:v>
      </x:c>
      <x:c r="H167" s="37" t="str">
        <x:v>Có start_date, end_date và lý do chọn</x:v>
      </x:c>
      <x:c r="I167" s="38" t="str">
        <x:v>P1</x:v>
      </x:c>
      <x:c r="J167" s="38" t="str">
        <x:v>TODO</x:v>
      </x:c>
      <x:c r="K167" s="39" t="n">
        <x:f>IF(J167="DONE",1,IF(J167="REVIEW",0.8,IF(J167="DOING",0.5,0)))</x:f>
        <x:v>0</x:v>
      </x:c>
      <x:c r="L167" s="40"/>
      <x:c r="M167" s="40"/>
      <x:c r="N167" s="37" t="str"/>
    </x:row>
    <x:row r="168" ht="44" customHeight="1">
      <x:c r="A168" s="18" t="str">
        <x:v>P5-10</x:v>
      </x:c>
      <x:c r="B168" s="18" t="str">
        <x:v>Phase 5 - Open-Meteo</x:v>
      </x:c>
      <x:c r="C168" s="18" t="str">
        <x:v>Proof of concept</x:v>
      </x:c>
      <x:c r="D168" s="37" t="str">
        <x:v>Viết hàm gọi API cho 1 station và 1 tháng</x:v>
      </x:c>
      <x:c r="E168" s="38" t="str">
        <x:v>A</x:v>
      </x:c>
      <x:c r="F168" s="38" t="str">
        <x:v>B</x:v>
      </x:c>
      <x:c r="G168" s="37" t="str">
        <x:v>P5-03, P5-08, P5-09</x:v>
      </x:c>
      <x:c r="H168" s="37" t="str">
        <x:v>Request thành công và response không rỗng</x:v>
      </x:c>
      <x:c r="I168" s="38" t="str">
        <x:v>P0</x:v>
      </x:c>
      <x:c r="J168" s="38" t="str">
        <x:v>TODO</x:v>
      </x:c>
      <x:c r="K168" s="39" t="n">
        <x:f>IF(J168="DONE",1,IF(J168="REVIEW",0.8,IF(J168="DOING",0.5,0)))</x:f>
        <x:v>0</x:v>
      </x:c>
      <x:c r="L168" s="40"/>
      <x:c r="M168" s="40"/>
      <x:c r="N168" s="37" t="str"/>
    </x:row>
    <x:row r="169" ht="44" customHeight="1">
      <x:c r="A169" s="18" t="str">
        <x:v>P5-11</x:v>
      </x:c>
      <x:c r="B169" s="18" t="str">
        <x:v>Phase 5 - Open-Meteo</x:v>
      </x:c>
      <x:c r="C169" s="18" t="str">
        <x:v>Source validation</x:v>
      </x:c>
      <x:c r="D169" s="37" t="str">
        <x:v>Kiểm tra HTTP status, response schema và hourly length</x:v>
      </x:c>
      <x:c r="E169" s="38" t="str">
        <x:v>A</x:v>
      </x:c>
      <x:c r="F169" s="38" t="str">
        <x:v>B</x:v>
      </x:c>
      <x:c r="G169" s="37" t="str">
        <x:v>P5-10</x:v>
      </x:c>
      <x:c r="H169" s="37" t="str">
        <x:v>Response sai hoặc rỗng làm module fail rõ nguyên nhân</x:v>
      </x:c>
      <x:c r="I169" s="38" t="str">
        <x:v>P0</x:v>
      </x:c>
      <x:c r="J169" s="38" t="str">
        <x:v>TODO</x:v>
      </x:c>
      <x:c r="K169" s="39" t="n">
        <x:f>IF(J169="DONE",1,IF(J169="REVIEW",0.8,IF(J169="DOING",0.5,0)))</x:f>
        <x:v>0</x:v>
      </x:c>
      <x:c r="L169" s="40"/>
      <x:c r="M169" s="40"/>
      <x:c r="N169" s="37" t="str"/>
    </x:row>
    <x:row r="170" ht="44" customHeight="1">
      <x:c r="A170" s="18" t="str">
        <x:v>P5-12</x:v>
      </x:c>
      <x:c r="B170" s="18" t="str">
        <x:v>Phase 5 - Open-Meteo</x:v>
      </x:c>
      <x:c r="C170" s="18" t="str">
        <x:v>Raw zone</x:v>
      </x:c>
      <x:c r="D170" s="37" t="str">
        <x:v>Lưu nguyên response API vào MinIO Raw</x:v>
      </x:c>
      <x:c r="E170" s="38" t="str">
        <x:v>A</x:v>
      </x:c>
      <x:c r="F170" s="38" t="str">
        <x:v>B</x:v>
      </x:c>
      <x:c r="G170" s="37" t="str">
        <x:v>P5-10, P5-11</x:v>
      </x:c>
      <x:c r="H170" s="37" t="str">
        <x:v>Raw JSON giữ nguyên, có request metadata và ingestion time</x:v>
      </x:c>
      <x:c r="I170" s="38" t="str">
        <x:v>P0</x:v>
      </x:c>
      <x:c r="J170" s="38" t="str">
        <x:v>TODO</x:v>
      </x:c>
      <x:c r="K170" s="39" t="n">
        <x:f>IF(J170="DONE",1,IF(J170="REVIEW",0.8,IF(J170="DOING",0.5,0)))</x:f>
        <x:v>0</x:v>
      </x:c>
      <x:c r="L170" s="40"/>
      <x:c r="M170" s="40"/>
      <x:c r="N170" s="37" t="str"/>
    </x:row>
    <x:row r="171" ht="44" customHeight="1">
      <x:c r="A171" s="18" t="str">
        <x:v>P5-13</x:v>
      </x:c>
      <x:c r="B171" s="18" t="str">
        <x:v>Phase 5 - Open-Meteo</x:v>
      </x:c>
      <x:c r="C171" s="18" t="str">
        <x:v>Time alignment</x:v>
      </x:c>
      <x:c r="D171" s="37" t="str">
        <x:v>Parse Open-Meteo time và xác nhận timezone</x:v>
      </x:c>
      <x:c r="E171" s="38" t="str">
        <x:v>A</x:v>
      </x:c>
      <x:c r="F171" s="38" t="str">
        <x:v>B</x:v>
      </x:c>
      <x:c r="G171" s="37" t="str">
        <x:v>P5-11</x:v>
      </x:c>
      <x:c r="H171" s="37" t="str">
        <x:v>Hourly timestamp khớp Asia/Shanghai, không lệch ngày hoặc giờ</x:v>
      </x:c>
      <x:c r="I171" s="38" t="str">
        <x:v>P0</x:v>
      </x:c>
      <x:c r="J171" s="38" t="str">
        <x:v>TODO</x:v>
      </x:c>
      <x:c r="K171" s="39" t="n">
        <x:f>IF(J171="DONE",1,IF(J171="REVIEW",0.8,IF(J171="DOING",0.5,0)))</x:f>
        <x:v>0</x:v>
      </x:c>
      <x:c r="L171" s="40"/>
      <x:c r="M171" s="40"/>
      <x:c r="N171" s="37" t="str"/>
    </x:row>
    <x:row r="172" ht="44" customHeight="1">
      <x:c r="A172" s="18" t="str">
        <x:v>P5-14</x:v>
      </x:c>
      <x:c r="B172" s="18" t="str">
        <x:v>Phase 5 - Open-Meteo</x:v>
      </x:c>
      <x:c r="C172" s="18" t="str">
        <x:v>Unit validation</x:v>
      </x:c>
      <x:c r="D172" s="37" t="str">
        <x:v>Đối chiếu đơn vị Open-Meteo với UCI</x:v>
      </x:c>
      <x:c r="E172" s="38" t="str">
        <x:v>B</x:v>
      </x:c>
      <x:c r="F172" s="38" t="str">
        <x:v>A</x:v>
      </x:c>
      <x:c r="G172" s="37" t="str">
        <x:v>P5-08, P5-11</x:v>
      </x:c>
      <x:c r="H172" s="37" t="str">
        <x:v>Bảng mapping biến và unit được xác nhận</x:v>
      </x:c>
      <x:c r="I172" s="38" t="str">
        <x:v>P0</x:v>
      </x:c>
      <x:c r="J172" s="38" t="str">
        <x:v>TODO</x:v>
      </x:c>
      <x:c r="K172" s="39" t="n">
        <x:f>IF(J172="DONE",1,IF(J172="REVIEW",0.8,IF(J172="DOING",0.5,0)))</x:f>
        <x:v>0</x:v>
      </x:c>
      <x:c r="L172" s="40"/>
      <x:c r="M172" s="40"/>
      <x:c r="N172" s="37" t="str"/>
    </x:row>
    <x:row r="173" ht="44" customHeight="1">
      <x:c r="A173" s="18" t="str">
        <x:v>P5-15</x:v>
      </x:c>
      <x:c r="B173" s="18" t="str">
        <x:v>Phase 5 - Open-Meteo</x:v>
      </x:c>
      <x:c r="C173" s="18" t="str">
        <x:v>Hourly join</x:v>
      </x:c>
      <x:c r="D173" s="37" t="str">
        <x:v>Join thử Open-Meteo với UCI theo station và hour</x:v>
      </x:c>
      <x:c r="E173" s="38" t="str">
        <x:v>A</x:v>
      </x:c>
      <x:c r="F173" s="38" t="str">
        <x:v>B</x:v>
      </x:c>
      <x:c r="G173" s="37" t="str">
        <x:v>P5-13, P5-14</x:v>
      </x:c>
      <x:c r="H173" s="37" t="str">
        <x:v>Join chạy; match rate và unmatched timestamps được thống kê</x:v>
      </x:c>
      <x:c r="I173" s="38" t="str">
        <x:v>P0</x:v>
      </x:c>
      <x:c r="J173" s="38" t="str">
        <x:v>TODO</x:v>
      </x:c>
      <x:c r="K173" s="39" t="n">
        <x:f>IF(J173="DONE",1,IF(J173="REVIEW",0.8,IF(J173="DOING",0.5,0)))</x:f>
        <x:v>0</x:v>
      </x:c>
      <x:c r="L173" s="40"/>
      <x:c r="M173" s="40"/>
      <x:c r="N173" s="37" t="str"/>
    </x:row>
    <x:row r="174" ht="44" customHeight="1">
      <x:c r="A174" s="18" t="str">
        <x:v>P5-16</x:v>
      </x:c>
      <x:c r="B174" s="18" t="str">
        <x:v>Phase 5 - Open-Meteo</x:v>
      </x:c>
      <x:c r="C174" s="18" t="str">
        <x:v>Comparison</x:v>
      </x:c>
      <x:c r="D174" s="37" t="str">
        <x:v>So sánh temperature với UCI TEMP</x:v>
      </x:c>
      <x:c r="E174" s="38" t="str">
        <x:v>B</x:v>
      </x:c>
      <x:c r="F174" s="38" t="str">
        <x:v>A</x:v>
      </x:c>
      <x:c r="G174" s="37" t="str">
        <x:v>P5-15</x:v>
      </x:c>
      <x:c r="H174" s="37" t="str">
        <x:v>Có correlation, sai khác cơ bản và nhận xét hợp lý</x:v>
      </x:c>
      <x:c r="I174" s="38" t="str">
        <x:v>P1</x:v>
      </x:c>
      <x:c r="J174" s="38" t="str">
        <x:v>TODO</x:v>
      </x:c>
      <x:c r="K174" s="39" t="n">
        <x:f>IF(J174="DONE",1,IF(J174="REVIEW",0.8,IF(J174="DOING",0.5,0)))</x:f>
        <x:v>0</x:v>
      </x:c>
      <x:c r="L174" s="40"/>
      <x:c r="M174" s="40"/>
      <x:c r="N174" s="37" t="str"/>
    </x:row>
    <x:row r="175" ht="44" customHeight="1">
      <x:c r="A175" s="18" t="str">
        <x:v>P5-17</x:v>
      </x:c>
      <x:c r="B175" s="18" t="str">
        <x:v>Phase 5 - Open-Meteo</x:v>
      </x:c>
      <x:c r="C175" s="18" t="str">
        <x:v>Comparison</x:v>
      </x:c>
      <x:c r="D175" s="37" t="str">
        <x:v>So sánh dew point với UCI DEWP</x:v>
      </x:c>
      <x:c r="E175" s="38" t="str">
        <x:v>B</x:v>
      </x:c>
      <x:c r="F175" s="38" t="str">
        <x:v>A</x:v>
      </x:c>
      <x:c r="G175" s="37" t="str">
        <x:v>P5-15</x:v>
      </x:c>
      <x:c r="H175" s="37" t="str">
        <x:v>Có correlation, sai khác cơ bản và nhận xét hợp lý</x:v>
      </x:c>
      <x:c r="I175" s="38" t="str">
        <x:v>P1</x:v>
      </x:c>
      <x:c r="J175" s="38" t="str">
        <x:v>TODO</x:v>
      </x:c>
      <x:c r="K175" s="39" t="n">
        <x:f>IF(J175="DONE",1,IF(J175="REVIEW",0.8,IF(J175="DOING",0.5,0)))</x:f>
        <x:v>0</x:v>
      </x:c>
      <x:c r="L175" s="40"/>
      <x:c r="M175" s="40"/>
      <x:c r="N175" s="37" t="str"/>
    </x:row>
    <x:row r="176" ht="44" customHeight="1">
      <x:c r="A176" s="18" t="str">
        <x:v>P5-18</x:v>
      </x:c>
      <x:c r="B176" s="18" t="str">
        <x:v>Phase 5 - Open-Meteo</x:v>
      </x:c>
      <x:c r="C176" s="18" t="str">
        <x:v>Comparison</x:v>
      </x:c>
      <x:c r="D176" s="37" t="str">
        <x:v>So sánh rain với UCI RAIN</x:v>
      </x:c>
      <x:c r="E176" s="38" t="str">
        <x:v>B</x:v>
      </x:c>
      <x:c r="F176" s="38" t="str">
        <x:v>A</x:v>
      </x:c>
      <x:c r="G176" s="37" t="str">
        <x:v>P5-15</x:v>
      </x:c>
      <x:c r="H176" s="37" t="str">
        <x:v>Có coverage, sai khác và trường hợp đáng chú ý</x:v>
      </x:c>
      <x:c r="I176" s="38" t="str">
        <x:v>P1</x:v>
      </x:c>
      <x:c r="J176" s="38" t="str">
        <x:v>TODO</x:v>
      </x:c>
      <x:c r="K176" s="39" t="n">
        <x:f>IF(J176="DONE",1,IF(J176="REVIEW",0.8,IF(J176="DOING",0.5,0)))</x:f>
        <x:v>0</x:v>
      </x:c>
      <x:c r="L176" s="40"/>
      <x:c r="M176" s="40"/>
      <x:c r="N176" s="37" t="str"/>
    </x:row>
    <x:row r="177" ht="44" customHeight="1">
      <x:c r="A177" s="18" t="str">
        <x:v>P5-19</x:v>
      </x:c>
      <x:c r="B177" s="18" t="str">
        <x:v>Phase 5 - Open-Meteo</x:v>
      </x:c>
      <x:c r="C177" s="18" t="str">
        <x:v>Comparison</x:v>
      </x:c>
      <x:c r="D177" s="37" t="str">
        <x:v>So sánh wind speed với UCI WSPM</x:v>
      </x:c>
      <x:c r="E177" s="38" t="str">
        <x:v>B</x:v>
      </x:c>
      <x:c r="F177" s="38" t="str">
        <x:v>A</x:v>
      </x:c>
      <x:c r="G177" s="37" t="str">
        <x:v>P5-15</x:v>
      </x:c>
      <x:c r="H177" s="37" t="str">
        <x:v>Có correlation, sai khác và lưu ý vị trí đo</x:v>
      </x:c>
      <x:c r="I177" s="38" t="str">
        <x:v>P1</x:v>
      </x:c>
      <x:c r="J177" s="38" t="str">
        <x:v>TODO</x:v>
      </x:c>
      <x:c r="K177" s="39" t="n">
        <x:f>IF(J177="DONE",1,IF(J177="REVIEW",0.8,IF(J177="DOING",0.5,0)))</x:f>
        <x:v>0</x:v>
      </x:c>
      <x:c r="L177" s="40"/>
      <x:c r="M177" s="40"/>
      <x:c r="N177" s="37" t="str"/>
    </x:row>
    <x:row r="178" ht="44" customHeight="1">
      <x:c r="A178" s="18" t="str">
        <x:v>P5-20</x:v>
      </x:c>
      <x:c r="B178" s="18" t="str">
        <x:v>Phase 5 - Open-Meteo</x:v>
      </x:c>
      <x:c r="C178" s="18" t="str">
        <x:v>Enrichment</x:v>
      </x:c>
      <x:c r="D178" s="37" t="str">
        <x:v>Đánh giá relative_humidity_2m làm biến bổ sung</x:v>
      </x:c>
      <x:c r="E178" s="38" t="str">
        <x:v>B</x:v>
      </x:c>
      <x:c r="F178" s="38" t="str">
        <x:v>A</x:v>
      </x:c>
      <x:c r="G178" s="37" t="str">
        <x:v>P5-15</x:v>
      </x:c>
      <x:c r="H178" s="37" t="str">
        <x:v>Biết coverage, missing và giá trị phân tích tiềm năng</x:v>
      </x:c>
      <x:c r="I178" s="38" t="str">
        <x:v>P0</x:v>
      </x:c>
      <x:c r="J178" s="38" t="str">
        <x:v>TODO</x:v>
      </x:c>
      <x:c r="K178" s="39" t="n">
        <x:f>IF(J178="DONE",1,IF(J178="REVIEW",0.8,IF(J178="DOING",0.5,0)))</x:f>
        <x:v>0</x:v>
      </x:c>
      <x:c r="L178" s="40"/>
      <x:c r="M178" s="40"/>
      <x:c r="N178" s="37" t="str"/>
    </x:row>
    <x:row r="179" ht="44" customHeight="1">
      <x:c r="A179" s="18" t="str">
        <x:v>P5-21</x:v>
      </x:c>
      <x:c r="B179" s="18" t="str">
        <x:v>Phase 5 - Open-Meteo</x:v>
      </x:c>
      <x:c r="C179" s="18" t="str">
        <x:v>API reliability</x:v>
      </x:c>
      <x:c r="D179" s="37" t="str">
        <x:v>Thử retry, timeout và rerun cùng request</x:v>
      </x:c>
      <x:c r="E179" s="38" t="str">
        <x:v>A</x:v>
      </x:c>
      <x:c r="F179" s="38" t="str">
        <x:v>B</x:v>
      </x:c>
      <x:c r="G179" s="37" t="str">
        <x:v>P5-10 đến P5-12</x:v>
      </x:c>
      <x:c r="H179" s="37" t="str">
        <x:v>Rerun không tạo raw object sai; lỗi mạng được xử lý rõ</x:v>
      </x:c>
      <x:c r="I179" s="38" t="str">
        <x:v>P1</x:v>
      </x:c>
      <x:c r="J179" s="38" t="str">
        <x:v>TODO</x:v>
      </x:c>
      <x:c r="K179" s="39" t="n">
        <x:f>IF(J179="DONE",1,IF(J179="REVIEW",0.8,IF(J179="DOING",0.5,0)))</x:f>
        <x:v>0</x:v>
      </x:c>
      <x:c r="L179" s="40"/>
      <x:c r="M179" s="40"/>
      <x:c r="N179" s="37" t="str"/>
    </x:row>
    <x:row r="180" ht="44" customHeight="1">
      <x:c r="A180" s="18" t="str">
        <x:v>P5-22</x:v>
      </x:c>
      <x:c r="B180" s="18" t="str">
        <x:v>Phase 5 - Open-Meteo</x:v>
      </x:c>
      <x:c r="C180" s="18" t="str">
        <x:v>Decision Gate</x:v>
      </x:c>
      <x:c r="D180" s="37" t="str">
        <x:v>Tổng hợp bằng chứng alignment, unit và enrichment value</x:v>
      </x:c>
      <x:c r="E180" s="38" t="str">
        <x:v>B</x:v>
      </x:c>
      <x:c r="F180" s="38" t="str">
        <x:v>A</x:v>
      </x:c>
      <x:c r="G180" s="37" t="str">
        <x:v>P5-15 đến P5-21</x:v>
      </x:c>
      <x:c r="H180" s="37" t="str">
        <x:v>Có bảng kết quả đủ để ra quyết định A, B hoặc C</x:v>
      </x:c>
      <x:c r="I180" s="38" t="str">
        <x:v>P0</x:v>
      </x:c>
      <x:c r="J180" s="38" t="str">
        <x:v>TODO</x:v>
      </x:c>
      <x:c r="K180" s="39" t="n">
        <x:f>IF(J180="DONE",1,IF(J180="REVIEW",0.8,IF(J180="DOING",0.5,0)))</x:f>
        <x:v>0</x:v>
      </x:c>
      <x:c r="L180" s="40"/>
      <x:c r="M180" s="40"/>
      <x:c r="N180" s="37" t="str"/>
    </x:row>
    <x:row r="181" ht="44" customHeight="1">
      <x:c r="A181" s="18" t="str">
        <x:v>P5-23</x:v>
      </x:c>
      <x:c r="B181" s="18" t="str">
        <x:v>Phase 5 - Open-Meteo</x:v>
      </x:c>
      <x:c r="C181" s="18" t="str">
        <x:v>Decision Gate</x:v>
      </x:c>
      <x:c r="D181" s="37" t="str">
        <x:v>Chọn vai trò Open-Meteo: đầy đủ, một số biến hoặc đổi phạm vi</x:v>
      </x:c>
      <x:c r="E181" s="38" t="str">
        <x:v>A+B</x:v>
      </x:c>
      <x:c r="F181" s="38" t="str">
        <x:v>A+B</x:v>
      </x:c>
      <x:c r="G181" s="37" t="str">
        <x:v>P5-22</x:v>
      </x:c>
      <x:c r="H181" s="37" t="str">
        <x:v>Quyết định và lý do được hai thành viên xác nhận</x:v>
      </x:c>
      <x:c r="I181" s="38" t="str">
        <x:v>P0</x:v>
      </x:c>
      <x:c r="J181" s="38" t="str">
        <x:v>TODO</x:v>
      </x:c>
      <x:c r="K181" s="39" t="n">
        <x:f>IF(J181="DONE",1,IF(J181="REVIEW",0.8,IF(J181="DOING",0.5,0)))</x:f>
        <x:v>0</x:v>
      </x:c>
      <x:c r="L181" s="40"/>
      <x:c r="M181" s="40"/>
      <x:c r="N181" s="37" t="str"/>
    </x:row>
    <x:row r="182" ht="44" customHeight="1">
      <x:c r="A182" s="18" t="str">
        <x:v>P5-24</x:v>
      </x:c>
      <x:c r="B182" s="18" t="str">
        <x:v>Phase 5 - Open-Meteo</x:v>
      </x:c>
      <x:c r="C182" s="18" t="str">
        <x:v>Tài liệu</x:v>
      </x:c>
      <x:c r="D182" s="37" t="str">
        <x:v>Cập nhật quyết định vào PROJECT_CONTEXT và DATA_GUIDE</x:v>
      </x:c>
      <x:c r="E182" s="38" t="str">
        <x:v>B</x:v>
      </x:c>
      <x:c r="F182" s="38" t="str">
        <x:v>A</x:v>
      </x:c>
      <x:c r="G182" s="37" t="str">
        <x:v>P5-23</x:v>
      </x:c>
      <x:c r="H182" s="37" t="str">
        <x:v>Nguồn, variables, units, timezone và scope được ghi lại</x:v>
      </x:c>
      <x:c r="I182" s="38" t="str">
        <x:v>P0</x:v>
      </x:c>
      <x:c r="J182" s="38" t="str">
        <x:v>TODO</x:v>
      </x:c>
      <x:c r="K182" s="39" t="n">
        <x:f>IF(J182="DONE",1,IF(J182="REVIEW",0.8,IF(J182="DOING",0.5,0)))</x:f>
        <x:v>0</x:v>
      </x:c>
      <x:c r="L182" s="40"/>
      <x:c r="M182" s="40"/>
      <x:c r="N182" s="37" t="str"/>
    </x:row>
    <x:row r="183" ht="44" customHeight="1">
      <x:c r="A183" s="18" t="str">
        <x:v>P5-25</x:v>
      </x:c>
      <x:c r="B183" s="18" t="str">
        <x:v>Phase 5 - Open-Meteo</x:v>
      </x:c>
      <x:c r="C183" s="18" t="str">
        <x:v>Conditional implementation</x:v>
      </x:c>
      <x:c r="D183" s="37" t="str">
        <x:v>Nếu giữ nguồn: hoàn thiện module ingest theo scope đã chốt</x:v>
      </x:c>
      <x:c r="E183" s="38" t="str">
        <x:v>A</x:v>
      </x:c>
      <x:c r="F183" s="38" t="str">
        <x:v>B</x:v>
      </x:c>
      <x:c r="G183" s="37" t="str">
        <x:v>P5-23, P5-24</x:v>
      </x:c>
      <x:c r="H183" s="37" t="str">
        <x:v>Module chỉ lấy station, thời gian và biến đã được duyệt</x:v>
      </x:c>
      <x:c r="I183" s="38" t="str">
        <x:v>P1</x:v>
      </x:c>
      <x:c r="J183" s="38" t="str">
        <x:v>TODO</x:v>
      </x:c>
      <x:c r="K183" s="39" t="n">
        <x:f>IF(J183="DONE",1,IF(J183="REVIEW",0.8,IF(J183="DOING",0.5,0)))</x:f>
        <x:v>0</x:v>
      </x:c>
      <x:c r="L183" s="40"/>
      <x:c r="M183" s="40"/>
      <x:c r="N183" s="37" t="str"/>
    </x:row>
    <x:row r="184" ht="44" customHeight="1">
      <x:c r="A184" s="18" t="str">
        <x:v>P5-26</x:v>
      </x:c>
      <x:c r="B184" s="18" t="str">
        <x:v>Phase 5 - Open-Meteo</x:v>
      </x:c>
      <x:c r="C184" s="18" t="str">
        <x:v>Conditional implementation</x:v>
      </x:c>
      <x:c r="D184" s="37" t="str">
        <x:v>Nếu giữ nguồn: tạo Airflow task ingest Open-Meteo</x:v>
      </x:c>
      <x:c r="E184" s="38" t="str">
        <x:v>A</x:v>
      </x:c>
      <x:c r="F184" s="38" t="str">
        <x:v>B</x:v>
      </x:c>
      <x:c r="G184" s="37" t="str">
        <x:v>P5-25</x:v>
      </x:c>
      <x:c r="H184" s="37" t="str">
        <x:v>Task gọi module Python; retry và log rõ request scope</x:v>
      </x:c>
      <x:c r="I184" s="38" t="str">
        <x:v>P1</x:v>
      </x:c>
      <x:c r="J184" s="38" t="str">
        <x:v>TODO</x:v>
      </x:c>
      <x:c r="K184" s="39" t="n">
        <x:f>IF(J184="DONE",1,IF(J184="REVIEW",0.8,IF(J184="DOING",0.5,0)))</x:f>
        <x:v>0</x:v>
      </x:c>
      <x:c r="L184" s="40"/>
      <x:c r="M184" s="40"/>
      <x:c r="N184" s="37" t="str"/>
    </x:row>
    <x:row r="185" ht="44" customHeight="1">
      <x:c r="A185" s="18" t="str">
        <x:v>P5-27</x:v>
      </x:c>
      <x:c r="B185" s="18" t="str">
        <x:v>Phase 5 - Open-Meteo</x:v>
      </x:c>
      <x:c r="C185" s="18" t="str">
        <x:v>Conditional implementation</x:v>
      </x:c>
      <x:c r="D185" s="37" t="str">
        <x:v>Nếu giữ nguồn: xử lý và lưu Open-Meteo vào Processed</x:v>
      </x:c>
      <x:c r="E185" s="38" t="str">
        <x:v>A</x:v>
      </x:c>
      <x:c r="F185" s="38" t="str">
        <x:v>B</x:v>
      </x:c>
      <x:c r="G185" s="37" t="str">
        <x:v>P5-25</x:v>
      </x:c>
      <x:c r="H185" s="37" t="str">
        <x:v>Processed weather có canonical time, units và lineage</x:v>
      </x:c>
      <x:c r="I185" s="38" t="str">
        <x:v>P1</x:v>
      </x:c>
      <x:c r="J185" s="38" t="str">
        <x:v>TODO</x:v>
      </x:c>
      <x:c r="K185" s="39" t="n">
        <x:f>IF(J185="DONE",1,IF(J185="REVIEW",0.8,IF(J185="DOING",0.5,0)))</x:f>
        <x:v>0</x:v>
      </x:c>
      <x:c r="L185" s="40"/>
      <x:c r="M185" s="40"/>
      <x:c r="N185" s="37" t="str"/>
    </x:row>
    <x:row r="186" ht="44" customHeight="1">
      <x:c r="A186" s="18" t="str">
        <x:v>P5-28</x:v>
      </x:c>
      <x:c r="B186" s="18" t="str">
        <x:v>Phase 5 - Open-Meteo</x:v>
      </x:c>
      <x:c r="C186" s="18" t="str">
        <x:v>Scale decision</x:v>
      </x:c>
      <x:c r="D186" s="37" t="str">
        <x:v>Chỉ scale station/thời gian theo quyết định Gate</x:v>
      </x:c>
      <x:c r="E186" s="38" t="str">
        <x:v>A+B</x:v>
      </x:c>
      <x:c r="F186" s="38" t="str">
        <x:v>A+B</x:v>
      </x:c>
      <x:c r="G186" s="37" t="str">
        <x:v>P5-26, P5-27</x:v>
      </x:c>
      <x:c r="H186" s="37" t="str">
        <x:v>Không gọi 12 station × 4 năm nếu chưa có giá trị rõ</x:v>
      </x:c>
      <x:c r="I186" s="38" t="str">
        <x:v>P1</x:v>
      </x:c>
      <x:c r="J186" s="38" t="str">
        <x:v>TODO</x:v>
      </x:c>
      <x:c r="K186" s="39" t="n">
        <x:f>IF(J186="DONE",1,IF(J186="REVIEW",0.8,IF(J186="DOING",0.5,0)))</x:f>
        <x:v>0</x:v>
      </x:c>
      <x:c r="L186" s="40"/>
      <x:c r="M186" s="40"/>
      <x:c r="N186" s="37" t="str"/>
    </x:row>
    <x:row r="187" ht="44" customHeight="1">
      <x:c r="A187" s="18" t="str">
        <x:v>P5-29</x:v>
      </x:c>
      <x:c r="B187" s="18" t="str">
        <x:v>Phase 5 - Open-Meteo</x:v>
      </x:c>
      <x:c r="C187" s="18" t="str">
        <x:v>Checkpoint</x:v>
      </x:c>
      <x:c r="D187" s="37" t="str">
        <x:v>Cập nhật README, evidence và PROGRESS.md Phase 5</x:v>
      </x:c>
      <x:c r="E187" s="38" t="str">
        <x:v>B</x:v>
      </x:c>
      <x:c r="F187" s="38" t="str">
        <x:v>A</x:v>
      </x:c>
      <x:c r="G187" s="37" t="str">
        <x:v>P5-24, P5-28</x:v>
      </x:c>
      <x:c r="H187" s="37" t="str">
        <x:v>Có request mẫu, comparison và quyết định cuối</x:v>
      </x:c>
      <x:c r="I187" s="38" t="str">
        <x:v>P1</x:v>
      </x:c>
      <x:c r="J187" s="38" t="str">
        <x:v>TODO</x:v>
      </x:c>
      <x:c r="K187" s="39" t="n">
        <x:f>IF(J187="DONE",1,IF(J187="REVIEW",0.8,IF(J187="DOING",0.5,0)))</x:f>
        <x:v>0</x:v>
      </x:c>
      <x:c r="L187" s="40"/>
      <x:c r="M187" s="40"/>
      <x:c r="N187" s="37" t="str"/>
    </x:row>
    <x:row r="188" ht="44" customHeight="1">
      <x:c r="A188" s="18" t="str">
        <x:v>P6-01</x:v>
      </x:c>
      <x:c r="B188" s="18" t="str">
        <x:v>Phase 6 - Staging</x:v>
      </x:c>
      <x:c r="C188" s="18" t="str">
        <x:v>Điều kiện đầu vào</x:v>
      </x:c>
      <x:c r="D188" s="37" t="str">
        <x:v>Xác nhận processed UCI và quyết định Open-Meteo đã sẵn sàng</x:v>
      </x:c>
      <x:c r="E188" s="38" t="str">
        <x:v>A+B</x:v>
      </x:c>
      <x:c r="F188" s="38" t="str">
        <x:v>A+B</x:v>
      </x:c>
      <x:c r="G188" s="37" t="str">
        <x:v>P4-30, P5-23</x:v>
      </x:c>
      <x:c r="H188" s="37" t="str">
        <x:v>Nguồn nào được load vào staging đã được chốt</x:v>
      </x:c>
      <x:c r="I188" s="38" t="str">
        <x:v>P0</x:v>
      </x:c>
      <x:c r="J188" s="38" t="str">
        <x:v>TODO</x:v>
      </x:c>
      <x:c r="K188" s="39" t="n">
        <x:f>IF(J188="DONE",1,IF(J188="REVIEW",0.8,IF(J188="DOING",0.5,0)))</x:f>
        <x:v>0</x:v>
      </x:c>
      <x:c r="L188" s="40"/>
      <x:c r="M188" s="40"/>
      <x:c r="N188" s="37" t="str"/>
    </x:row>
    <x:row r="189" ht="44" customHeight="1">
      <x:c r="A189" s="18" t="str">
        <x:v>P6-02</x:v>
      </x:c>
      <x:c r="B189" s="18" t="str">
        <x:v>Phase 6 - Staging</x:v>
      </x:c>
      <x:c r="C189" s="18" t="str">
        <x:v>Schema design</x:v>
      </x:c>
      <x:c r="D189" s="37" t="str">
        <x:v>Chốt schema PostgreSQL staging</x:v>
      </x:c>
      <x:c r="E189" s="38" t="str">
        <x:v>A+B</x:v>
      </x:c>
      <x:c r="F189" s="38" t="str">
        <x:v>A+B</x:v>
      </x:c>
      <x:c r="G189" s="37" t="str">
        <x:v>P6-01</x:v>
      </x:c>
      <x:c r="H189" s="37" t="str">
        <x:v>Có staging schema và danh sách bảng cần tạo</x:v>
      </x:c>
      <x:c r="I189" s="38" t="str">
        <x:v>P0</x:v>
      </x:c>
      <x:c r="J189" s="38" t="str">
        <x:v>TODO</x:v>
      </x:c>
      <x:c r="K189" s="39" t="n">
        <x:f>IF(J189="DONE",1,IF(J189="REVIEW",0.8,IF(J189="DOING",0.5,0)))</x:f>
        <x:v>0</x:v>
      </x:c>
      <x:c r="L189" s="40"/>
      <x:c r="M189" s="40"/>
      <x:c r="N189" s="37" t="str"/>
    </x:row>
    <x:row r="190" ht="44" customHeight="1">
      <x:c r="A190" s="18" t="str">
        <x:v>P6-03</x:v>
      </x:c>
      <x:c r="B190" s="18" t="str">
        <x:v>Phase 6 - Staging</x:v>
      </x:c>
      <x:c r="C190" s="18" t="str">
        <x:v>Table design</x:v>
      </x:c>
      <x:c r="D190" s="37" t="str">
        <x:v>Thiết kế staging.air_quality_hourly</x:v>
      </x:c>
      <x:c r="E190" s="38" t="str">
        <x:v>B</x:v>
      </x:c>
      <x:c r="F190" s="38" t="str">
        <x:v>A</x:v>
      </x:c>
      <x:c r="G190" s="37" t="str">
        <x:v>P4-01, P6-02</x:v>
      </x:c>
      <x:c r="H190" s="37" t="str">
        <x:v>Tên cột, datatype và nullable khớp processed</x:v>
      </x:c>
      <x:c r="I190" s="38" t="str">
        <x:v>P0</x:v>
      </x:c>
      <x:c r="J190" s="38" t="str">
        <x:v>TODO</x:v>
      </x:c>
      <x:c r="K190" s="39" t="n">
        <x:f>IF(J190="DONE",1,IF(J190="REVIEW",0.8,IF(J190="DOING",0.5,0)))</x:f>
        <x:v>0</x:v>
      </x:c>
      <x:c r="L190" s="40"/>
      <x:c r="M190" s="40"/>
      <x:c r="N190" s="37" t="str"/>
    </x:row>
    <x:row r="191" ht="44" customHeight="1">
      <x:c r="A191" s="18" t="str">
        <x:v>P6-04</x:v>
      </x:c>
      <x:c r="B191" s="18" t="str">
        <x:v>Phase 6 - Staging</x:v>
      </x:c>
      <x:c r="C191" s="18" t="str">
        <x:v>Table design</x:v>
      </x:c>
      <x:c r="D191" s="37" t="str">
        <x:v>Thiết kế staging.station_reference</x:v>
      </x:c>
      <x:c r="E191" s="38" t="str">
        <x:v>B</x:v>
      </x:c>
      <x:c r="F191" s="38" t="str">
        <x:v>A</x:v>
      </x:c>
      <x:c r="G191" s="37" t="str">
        <x:v>P5-05, P6-02</x:v>
      </x:c>
      <x:c r="H191" s="37" t="str">
        <x:v>Station code/name và metadata đã xác minh được lưu rõ</x:v>
      </x:c>
      <x:c r="I191" s="38" t="str">
        <x:v>P0</x:v>
      </x:c>
      <x:c r="J191" s="38" t="str">
        <x:v>TODO</x:v>
      </x:c>
      <x:c r="K191" s="39" t="n">
        <x:f>IF(J191="DONE",1,IF(J191="REVIEW",0.8,IF(J191="DOING",0.5,0)))</x:f>
        <x:v>0</x:v>
      </x:c>
      <x:c r="L191" s="40"/>
      <x:c r="M191" s="40"/>
      <x:c r="N191" s="37" t="str"/>
    </x:row>
    <x:row r="192" ht="44" customHeight="1">
      <x:c r="A192" s="18" t="str">
        <x:v>P6-05</x:v>
      </x:c>
      <x:c r="B192" s="18" t="str">
        <x:v>Phase 6 - Staging</x:v>
      </x:c>
      <x:c r="C192" s="18" t="str">
        <x:v>Table design</x:v>
      </x:c>
      <x:c r="D192" s="37" t="str">
        <x:v>Nếu giữ Open-Meteo: thiết kế staging.weather_openmeteo_hourly</x:v>
      </x:c>
      <x:c r="E192" s="38" t="str">
        <x:v>B</x:v>
      </x:c>
      <x:c r="F192" s="38" t="str">
        <x:v>A</x:v>
      </x:c>
      <x:c r="G192" s="37" t="str">
        <x:v>P5-23, P6-02</x:v>
      </x:c>
      <x:c r="H192" s="37" t="str">
        <x:v>Schema khớp scope Open-Meteo đã quyết định</x:v>
      </x:c>
      <x:c r="I192" s="38" t="str">
        <x:v>P1</x:v>
      </x:c>
      <x:c r="J192" s="38" t="str">
        <x:v>TODO</x:v>
      </x:c>
      <x:c r="K192" s="39" t="n">
        <x:f>IF(J192="DONE",1,IF(J192="REVIEW",0.8,IF(J192="DOING",0.5,0)))</x:f>
        <x:v>0</x:v>
      </x:c>
      <x:c r="L192" s="40"/>
      <x:c r="M192" s="40"/>
      <x:c r="N192" s="37" t="str"/>
    </x:row>
    <x:row r="193" ht="44" customHeight="1">
      <x:c r="A193" s="18" t="str">
        <x:v>P6-06</x:v>
      </x:c>
      <x:c r="B193" s="18" t="str">
        <x:v>Phase 6 - Staging</x:v>
      </x:c>
      <x:c r="C193" s="18" t="str">
        <x:v>Natural key</x:v>
      </x:c>
      <x:c r="D193" s="37" t="str">
        <x:v>Xác nhận natural key station + event_time</x:v>
      </x:c>
      <x:c r="E193" s="38" t="str">
        <x:v>A+B</x:v>
      </x:c>
      <x:c r="F193" s="38" t="str">
        <x:v>A+B</x:v>
      </x:c>
      <x:c r="G193" s="37" t="str">
        <x:v>P6-03</x:v>
      </x:c>
      <x:c r="H193" s="37" t="str">
        <x:v>Key phù hợp grain và kết quả duplicate profiling</x:v>
      </x:c>
      <x:c r="I193" s="38" t="str">
        <x:v>P0</x:v>
      </x:c>
      <x:c r="J193" s="38" t="str">
        <x:v>TODO</x:v>
      </x:c>
      <x:c r="K193" s="39" t="n">
        <x:f>IF(J193="DONE",1,IF(J193="REVIEW",0.8,IF(J193="DOING",0.5,0)))</x:f>
        <x:v>0</x:v>
      </x:c>
      <x:c r="L193" s="40"/>
      <x:c r="M193" s="40"/>
      <x:c r="N193" s="37" t="str"/>
    </x:row>
    <x:row r="194" ht="44" customHeight="1">
      <x:c r="A194" s="18" t="str">
        <x:v>P6-07</x:v>
      </x:c>
      <x:c r="B194" s="18" t="str">
        <x:v>Phase 6 - Staging</x:v>
      </x:c>
      <x:c r="C194" s="18" t="str">
        <x:v>Load strategy</x:v>
      </x:c>
      <x:c r="D194" s="37" t="str">
        <x:v>Chọn truncate/reload hoặc upsert cho từng staging table</x:v>
      </x:c>
      <x:c r="E194" s="38" t="str">
        <x:v>A+B</x:v>
      </x:c>
      <x:c r="F194" s="38" t="str">
        <x:v>A+B</x:v>
      </x:c>
      <x:c r="G194" s="37" t="str">
        <x:v>P6-03 đến P6-06</x:v>
      </x:c>
      <x:c r="H194" s="37" t="str">
        <x:v>Chiến lược đơn giản, idempotent và được document</x:v>
      </x:c>
      <x:c r="I194" s="38" t="str">
        <x:v>P0</x:v>
      </x:c>
      <x:c r="J194" s="38" t="str">
        <x:v>TODO</x:v>
      </x:c>
      <x:c r="K194" s="39" t="n">
        <x:f>IF(J194="DONE",1,IF(J194="REVIEW",0.8,IF(J194="DOING",0.5,0)))</x:f>
        <x:v>0</x:v>
      </x:c>
      <x:c r="L194" s="40"/>
      <x:c r="M194" s="40"/>
      <x:c r="N194" s="37" t="str"/>
    </x:row>
    <x:row r="195" ht="44" customHeight="1">
      <x:c r="A195" s="18" t="str">
        <x:v>P6-08</x:v>
      </x:c>
      <x:c r="B195" s="18" t="str">
        <x:v>Phase 6 - Staging</x:v>
      </x:c>
      <x:c r="C195" s="18" t="str">
        <x:v>DDL</x:v>
      </x:c>
      <x:c r="D195" s="37" t="str">
        <x:v>Viết SQL tạo schema và bảng staging</x:v>
      </x:c>
      <x:c r="E195" s="38" t="str">
        <x:v>A</x:v>
      </x:c>
      <x:c r="F195" s="38" t="str">
        <x:v>B</x:v>
      </x:c>
      <x:c r="G195" s="37" t="str">
        <x:v>P6-02 đến P6-07</x:v>
      </x:c>
      <x:c r="H195" s="37" t="str">
        <x:v>DDL chạy từ trạng thái database mới</x:v>
      </x:c>
      <x:c r="I195" s="38" t="str">
        <x:v>P0</x:v>
      </x:c>
      <x:c r="J195" s="38" t="str">
        <x:v>TODO</x:v>
      </x:c>
      <x:c r="K195" s="39" t="n">
        <x:f>IF(J195="DONE",1,IF(J195="REVIEW",0.8,IF(J195="DOING",0.5,0)))</x:f>
        <x:v>0</x:v>
      </x:c>
      <x:c r="L195" s="40"/>
      <x:c r="M195" s="40"/>
      <x:c r="N195" s="37" t="str"/>
    </x:row>
    <x:row r="196" ht="44" customHeight="1">
      <x:c r="A196" s="18" t="str">
        <x:v>P6-09</x:v>
      </x:c>
      <x:c r="B196" s="18" t="str">
        <x:v>Phase 6 - Staging</x:v>
      </x:c>
      <x:c r="C196" s="18" t="str">
        <x:v>Database connection</x:v>
      </x:c>
      <x:c r="D196" s="37" t="str">
        <x:v>Viết cấu hình kết nối PostgreSQL qua environment</x:v>
      </x:c>
      <x:c r="E196" s="38" t="str">
        <x:v>A</x:v>
      </x:c>
      <x:c r="F196" s="38" t="str">
        <x:v>B</x:v>
      </x:c>
      <x:c r="G196" s="37" t="str">
        <x:v>P2-10, P6-08</x:v>
      </x:c>
      <x:c r="H196" s="37" t="str">
        <x:v>Không hard-code credential; kết nối trong container thành công</x:v>
      </x:c>
      <x:c r="I196" s="38" t="str">
        <x:v>P0</x:v>
      </x:c>
      <x:c r="J196" s="38" t="str">
        <x:v>TODO</x:v>
      </x:c>
      <x:c r="K196" s="39" t="n">
        <x:f>IF(J196="DONE",1,IF(J196="REVIEW",0.8,IF(J196="DOING",0.5,0)))</x:f>
        <x:v>0</x:v>
      </x:c>
      <x:c r="L196" s="40"/>
      <x:c r="M196" s="40"/>
      <x:c r="N196" s="37" t="str"/>
    </x:row>
    <x:row r="197" ht="44" customHeight="1">
      <x:c r="A197" s="18" t="str">
        <x:v>P6-10</x:v>
      </x:c>
      <x:c r="B197" s="18" t="str">
        <x:v>Phase 6 - Staging</x:v>
      </x:c>
      <x:c r="C197" s="18" t="str">
        <x:v>Loader</x:v>
      </x:c>
      <x:c r="D197" s="37" t="str">
        <x:v>Viết loader Parquet → staging độc lập với DAG</x:v>
      </x:c>
      <x:c r="E197" s="38" t="str">
        <x:v>A</x:v>
      </x:c>
      <x:c r="F197" s="38" t="str">
        <x:v>B</x:v>
      </x:c>
      <x:c r="G197" s="37" t="str">
        <x:v>P6-08, P6-09</x:v>
      </x:c>
      <x:c r="H197" s="37" t="str">
        <x:v>Module nhận object/path và load đúng table</x:v>
      </x:c>
      <x:c r="I197" s="38" t="str">
        <x:v>P0</x:v>
      </x:c>
      <x:c r="J197" s="38" t="str">
        <x:v>TODO</x:v>
      </x:c>
      <x:c r="K197" s="39" t="n">
        <x:f>IF(J197="DONE",1,IF(J197="REVIEW",0.8,IF(J197="DOING",0.5,0)))</x:f>
        <x:v>0</x:v>
      </x:c>
      <x:c r="L197" s="40"/>
      <x:c r="M197" s="40"/>
      <x:c r="N197" s="37" t="str"/>
    </x:row>
    <x:row r="198" ht="44" customHeight="1">
      <x:c r="A198" s="18" t="str">
        <x:v>P6-11</x:v>
      </x:c>
      <x:c r="B198" s="18" t="str">
        <x:v>Phase 6 - Staging</x:v>
      </x:c>
      <x:c r="C198" s="18" t="str">
        <x:v>Vertical slice</x:v>
      </x:c>
      <x:c r="D198" s="37" t="str">
        <x:v>Load processed Wanshouxigong vào air_quality_hourly</x:v>
      </x:c>
      <x:c r="E198" s="38" t="str">
        <x:v>A</x:v>
      </x:c>
      <x:c r="F198" s="38" t="str">
        <x:v>B</x:v>
      </x:c>
      <x:c r="G198" s="37" t="str">
        <x:v>P4-17, P6-10</x:v>
      </x:c>
      <x:c r="H198" s="37" t="str">
        <x:v>Một station load thành công</x:v>
      </x:c>
      <x:c r="I198" s="38" t="str">
        <x:v>P0</x:v>
      </x:c>
      <x:c r="J198" s="38" t="str">
        <x:v>TODO</x:v>
      </x:c>
      <x:c r="K198" s="39" t="n">
        <x:f>IF(J198="DONE",1,IF(J198="REVIEW",0.8,IF(J198="DOING",0.5,0)))</x:f>
        <x:v>0</x:v>
      </x:c>
      <x:c r="L198" s="40"/>
      <x:c r="M198" s="40"/>
      <x:c r="N198" s="37" t="str"/>
    </x:row>
    <x:row r="199" ht="44" customHeight="1">
      <x:c r="A199" s="18" t="str">
        <x:v>P6-12</x:v>
      </x:c>
      <x:c r="B199" s="18" t="str">
        <x:v>Phase 6 - Staging</x:v>
      </x:c>
      <x:c r="C199" s="18" t="str">
        <x:v>Reconciliation</x:v>
      </x:c>
      <x:c r="D199" s="37" t="str">
        <x:v>Đối chiếu source count với target count</x:v>
      </x:c>
      <x:c r="E199" s="38" t="str">
        <x:v>B</x:v>
      </x:c>
      <x:c r="F199" s="38" t="str">
        <x:v>A</x:v>
      </x:c>
      <x:c r="G199" s="37" t="str">
        <x:v>P6-11</x:v>
      </x:c>
      <x:c r="H199" s="37" t="str">
        <x:v>Row count bằng nhau hoặc chênh lệch được giải thích</x:v>
      </x:c>
      <x:c r="I199" s="38" t="str">
        <x:v>P0</x:v>
      </x:c>
      <x:c r="J199" s="38" t="str">
        <x:v>TODO</x:v>
      </x:c>
      <x:c r="K199" s="39" t="n">
        <x:f>IF(J199="DONE",1,IF(J199="REVIEW",0.8,IF(J199="DOING",0.5,0)))</x:f>
        <x:v>0</x:v>
      </x:c>
      <x:c r="L199" s="40"/>
      <x:c r="M199" s="40"/>
      <x:c r="N199" s="37" t="str"/>
    </x:row>
    <x:row r="200" ht="44" customHeight="1">
      <x:c r="A200" s="18" t="str">
        <x:v>P6-13</x:v>
      </x:c>
      <x:c r="B200" s="18" t="str">
        <x:v>Phase 6 - Staging</x:v>
      </x:c>
      <x:c r="C200" s="18" t="str">
        <x:v>Data validation</x:v>
      </x:c>
      <x:c r="D200" s="37" t="str">
        <x:v>Kiểm tra station count và date range sau load</x:v>
      </x:c>
      <x:c r="E200" s="38" t="str">
        <x:v>B</x:v>
      </x:c>
      <x:c r="F200" s="38" t="str">
        <x:v>A</x:v>
      </x:c>
      <x:c r="G200" s="37" t="str">
        <x:v>P6-11</x:v>
      </x:c>
      <x:c r="H200" s="37" t="str">
        <x:v>Có đúng station và khoảng thời gian nguồn</x:v>
      </x:c>
      <x:c r="I200" s="38" t="str">
        <x:v>P0</x:v>
      </x:c>
      <x:c r="J200" s="38" t="str">
        <x:v>TODO</x:v>
      </x:c>
      <x:c r="K200" s="39" t="n">
        <x:f>IF(J200="DONE",1,IF(J200="REVIEW",0.8,IF(J200="DOING",0.5,0)))</x:f>
        <x:v>0</x:v>
      </x:c>
      <x:c r="L200" s="40"/>
      <x:c r="M200" s="40"/>
      <x:c r="N200" s="37" t="str"/>
    </x:row>
    <x:row r="201" ht="44" customHeight="1">
      <x:c r="A201" s="18" t="str">
        <x:v>P6-14</x:v>
      </x:c>
      <x:c r="B201" s="18" t="str">
        <x:v>Phase 6 - Staging</x:v>
      </x:c>
      <x:c r="C201" s="18" t="str">
        <x:v>Data validation</x:v>
      </x:c>
      <x:c r="D201" s="37" t="str">
        <x:v>Kiểm tra datatype và NULL theo schema</x:v>
      </x:c>
      <x:c r="E201" s="38" t="str">
        <x:v>B</x:v>
      </x:c>
      <x:c r="F201" s="38" t="str">
        <x:v>A</x:v>
      </x:c>
      <x:c r="G201" s="37" t="str">
        <x:v>P6-11</x:v>
      </x:c>
      <x:c r="H201" s="37" t="str">
        <x:v>Type đúng; NULL không bị đổi thành giá trị giả</x:v>
      </x:c>
      <x:c r="I201" s="38" t="str">
        <x:v>P0</x:v>
      </x:c>
      <x:c r="J201" s="38" t="str">
        <x:v>TODO</x:v>
      </x:c>
      <x:c r="K201" s="39" t="n">
        <x:f>IF(J201="DONE",1,IF(J201="REVIEW",0.8,IF(J201="DOING",0.5,0)))</x:f>
        <x:v>0</x:v>
      </x:c>
      <x:c r="L201" s="40"/>
      <x:c r="M201" s="40"/>
      <x:c r="N201" s="37" t="str"/>
    </x:row>
    <x:row r="202" ht="44" customHeight="1">
      <x:c r="A202" s="18" t="str">
        <x:v>P6-15</x:v>
      </x:c>
      <x:c r="B202" s="18" t="str">
        <x:v>Phase 6 - Staging</x:v>
      </x:c>
      <x:c r="C202" s="18" t="str">
        <x:v>Key validation</x:v>
      </x:c>
      <x:c r="D202" s="37" t="str">
        <x:v>Kiểm tra duplicate station + event_time</x:v>
      </x:c>
      <x:c r="E202" s="38" t="str">
        <x:v>B</x:v>
      </x:c>
      <x:c r="F202" s="38" t="str">
        <x:v>A</x:v>
      </x:c>
      <x:c r="G202" s="37" t="str">
        <x:v>P6-11, P6-06</x:v>
      </x:c>
      <x:c r="H202" s="37" t="str">
        <x:v>Không có duplicate ngoài policy đã chốt</x:v>
      </x:c>
      <x:c r="I202" s="38" t="str">
        <x:v>P0</x:v>
      </x:c>
      <x:c r="J202" s="38" t="str">
        <x:v>TODO</x:v>
      </x:c>
      <x:c r="K202" s="39" t="n">
        <x:f>IF(J202="DONE",1,IF(J202="REVIEW",0.8,IF(J202="DOING",0.5,0)))</x:f>
        <x:v>0</x:v>
      </x:c>
      <x:c r="L202" s="40"/>
      <x:c r="M202" s="40"/>
      <x:c r="N202" s="37" t="str"/>
    </x:row>
    <x:row r="203" ht="44" customHeight="1">
      <x:c r="A203" s="18" t="str">
        <x:v>P6-16</x:v>
      </x:c>
      <x:c r="B203" s="18" t="str">
        <x:v>Phase 6 - Staging</x:v>
      </x:c>
      <x:c r="C203" s="18" t="str">
        <x:v>Idempotency</x:v>
      </x:c>
      <x:c r="D203" s="37" t="str">
        <x:v>Rerun cùng batch Wanshouxigong</x:v>
      </x:c>
      <x:c r="E203" s="38" t="str">
        <x:v>A</x:v>
      </x:c>
      <x:c r="F203" s="38" t="str">
        <x:v>B</x:v>
      </x:c>
      <x:c r="G203" s="37" t="str">
        <x:v>P6-11, P6-07</x:v>
      </x:c>
      <x:c r="H203" s="37" t="str">
        <x:v>Row count không tăng sai và dữ liệu nhất quán</x:v>
      </x:c>
      <x:c r="I203" s="38" t="str">
        <x:v>P0</x:v>
      </x:c>
      <x:c r="J203" s="38" t="str">
        <x:v>TODO</x:v>
      </x:c>
      <x:c r="K203" s="39" t="n">
        <x:f>IF(J203="DONE",1,IF(J203="REVIEW",0.8,IF(J203="DOING",0.5,0)))</x:f>
        <x:v>0</x:v>
      </x:c>
      <x:c r="L203" s="40"/>
      <x:c r="M203" s="40"/>
      <x:c r="N203" s="37" t="str"/>
    </x:row>
    <x:row r="204" ht="44" customHeight="1">
      <x:c r="A204" s="18" t="str">
        <x:v>P6-17</x:v>
      </x:c>
      <x:c r="B204" s="18" t="str">
        <x:v>Phase 6 - Staging</x:v>
      </x:c>
      <x:c r="C204" s="18" t="str">
        <x:v>Failure safety</x:v>
      </x:c>
      <x:c r="D204" s="37" t="str">
        <x:v>Thử lỗi giữa chừng và kiểm tra transaction/rollback</x:v>
      </x:c>
      <x:c r="E204" s="38" t="str">
        <x:v>A</x:v>
      </x:c>
      <x:c r="F204" s="38" t="str">
        <x:v>B</x:v>
      </x:c>
      <x:c r="G204" s="37" t="str">
        <x:v>P6-10</x:v>
      </x:c>
      <x:c r="H204" s="37" t="str">
        <x:v>Không để lại batch nửa vời khó nhận biết</x:v>
      </x:c>
      <x:c r="I204" s="38" t="str">
        <x:v>P1</x:v>
      </x:c>
      <x:c r="J204" s="38" t="str">
        <x:v>TODO</x:v>
      </x:c>
      <x:c r="K204" s="39" t="n">
        <x:f>IF(J204="DONE",1,IF(J204="REVIEW",0.8,IF(J204="DOING",0.5,0)))</x:f>
        <x:v>0</x:v>
      </x:c>
      <x:c r="L204" s="40"/>
      <x:c r="M204" s="40"/>
      <x:c r="N204" s="37" t="str"/>
    </x:row>
    <x:row r="205" ht="44" customHeight="1">
      <x:c r="A205" s="18" t="str">
        <x:v>P6-18</x:v>
      </x:c>
      <x:c r="B205" s="18" t="str">
        <x:v>Phase 6 - Staging</x:v>
      </x:c>
      <x:c r="C205" s="18" t="str">
        <x:v>Station reference</x:v>
      </x:c>
      <x:c r="D205" s="37" t="str">
        <x:v>Load station_reference và kiểm tra code duy nhất</x:v>
      </x:c>
      <x:c r="E205" s="38" t="str">
        <x:v>A</x:v>
      </x:c>
      <x:c r="F205" s="38" t="str">
        <x:v>B</x:v>
      </x:c>
      <x:c r="G205" s="37" t="str">
        <x:v>P6-04, P6-10</x:v>
      </x:c>
      <x:c r="H205" s="37" t="str">
        <x:v>Reference load thành công; station code unique</x:v>
      </x:c>
      <x:c r="I205" s="38" t="str">
        <x:v>P0</x:v>
      </x:c>
      <x:c r="J205" s="38" t="str">
        <x:v>TODO</x:v>
      </x:c>
      <x:c r="K205" s="39" t="n">
        <x:f>IF(J205="DONE",1,IF(J205="REVIEW",0.8,IF(J205="DOING",0.5,0)))</x:f>
        <x:v>0</x:v>
      </x:c>
      <x:c r="L205" s="40"/>
      <x:c r="M205" s="40"/>
      <x:c r="N205" s="37" t="str"/>
    </x:row>
    <x:row r="206" ht="44" customHeight="1">
      <x:c r="A206" s="18" t="str">
        <x:v>P6-19</x:v>
      </x:c>
      <x:c r="B206" s="18" t="str">
        <x:v>Phase 6 - Staging</x:v>
      </x:c>
      <x:c r="C206" s="18" t="str">
        <x:v>Open-Meteo load</x:v>
      </x:c>
      <x:c r="D206" s="37" t="str">
        <x:v>Nếu giữ nguồn: load weather_openmeteo_hourly</x:v>
      </x:c>
      <x:c r="E206" s="38" t="str">
        <x:v>A</x:v>
      </x:c>
      <x:c r="F206" s="38" t="str">
        <x:v>B</x:v>
      </x:c>
      <x:c r="G206" s="37" t="str">
        <x:v>P5-27, P6-05, P6-10</x:v>
      </x:c>
      <x:c r="H206" s="37" t="str">
        <x:v>Weather staging có row count và hourly key đúng</x:v>
      </x:c>
      <x:c r="I206" s="38" t="str">
        <x:v>P1</x:v>
      </x:c>
      <x:c r="J206" s="38" t="str">
        <x:v>TODO</x:v>
      </x:c>
      <x:c r="K206" s="39" t="n">
        <x:f>IF(J206="DONE",1,IF(J206="REVIEW",0.8,IF(J206="DOING",0.5,0)))</x:f>
        <x:v>0</x:v>
      </x:c>
      <x:c r="L206" s="40"/>
      <x:c r="M206" s="40"/>
      <x:c r="N206" s="37" t="str"/>
    </x:row>
    <x:row r="207" ht="44" customHeight="1">
      <x:c r="A207" s="18" t="str">
        <x:v>P6-20</x:v>
      </x:c>
      <x:c r="B207" s="18" t="str">
        <x:v>Phase 6 - Staging</x:v>
      </x:c>
      <x:c r="C207" s="18" t="str">
        <x:v>Scale 12 station</x:v>
      </x:c>
      <x:c r="D207" s="37" t="str">
        <x:v>Load đủ processed UCI của 12 station</x:v>
      </x:c>
      <x:c r="E207" s="38" t="str">
        <x:v>A</x:v>
      </x:c>
      <x:c r="F207" s="38" t="str">
        <x:v>B</x:v>
      </x:c>
      <x:c r="G207" s="37" t="str">
        <x:v>P6-12 đến P6-18</x:v>
      </x:c>
      <x:c r="H207" s="37" t="str">
        <x:v>Toàn bộ air quality data có trong staging</x:v>
      </x:c>
      <x:c r="I207" s="38" t="str">
        <x:v>P0</x:v>
      </x:c>
      <x:c r="J207" s="38" t="str">
        <x:v>TODO</x:v>
      </x:c>
      <x:c r="K207" s="39" t="n">
        <x:f>IF(J207="DONE",1,IF(J207="REVIEW",0.8,IF(J207="DOING",0.5,0)))</x:f>
        <x:v>0</x:v>
      </x:c>
      <x:c r="L207" s="40"/>
      <x:c r="M207" s="40"/>
      <x:c r="N207" s="37" t="str"/>
    </x:row>
    <x:row r="208" ht="44" customHeight="1">
      <x:c r="A208" s="18" t="str">
        <x:v>P6-21</x:v>
      </x:c>
      <x:c r="B208" s="18" t="str">
        <x:v>Phase 6 - Staging</x:v>
      </x:c>
      <x:c r="C208" s="18" t="str">
        <x:v>Full reconciliation</x:v>
      </x:c>
      <x:c r="D208" s="37" t="str">
        <x:v>Đối chiếu row count theo từng station</x:v>
      </x:c>
      <x:c r="E208" s="38" t="str">
        <x:v>B</x:v>
      </x:c>
      <x:c r="F208" s="38" t="str">
        <x:v>A</x:v>
      </x:c>
      <x:c r="G208" s="37" t="str">
        <x:v>P6-20</x:v>
      </x:c>
      <x:c r="H208" s="37" t="str">
        <x:v>Bảng source-target reconciliation đủ 12 station</x:v>
      </x:c>
      <x:c r="I208" s="38" t="str">
        <x:v>P0</x:v>
      </x:c>
      <x:c r="J208" s="38" t="str">
        <x:v>TODO</x:v>
      </x:c>
      <x:c r="K208" s="39" t="n">
        <x:f>IF(J208="DONE",1,IF(J208="REVIEW",0.8,IF(J208="DOING",0.5,0)))</x:f>
        <x:v>0</x:v>
      </x:c>
      <x:c r="L208" s="40"/>
      <x:c r="M208" s="40"/>
      <x:c r="N208" s="37" t="str"/>
    </x:row>
    <x:row r="209" ht="44" customHeight="1">
      <x:c r="A209" s="18" t="str">
        <x:v>P6-22</x:v>
      </x:c>
      <x:c r="B209" s="18" t="str">
        <x:v>Phase 6 - Staging</x:v>
      </x:c>
      <x:c r="C209" s="18" t="str">
        <x:v>Full validation</x:v>
      </x:c>
      <x:c r="D209" s="37" t="str">
        <x:v>Kiểm tra key, date range, NULL và schema toàn staging</x:v>
      </x:c>
      <x:c r="E209" s="38" t="str">
        <x:v>B</x:v>
      </x:c>
      <x:c r="F209" s="38" t="str">
        <x:v>A</x:v>
      </x:c>
      <x:c r="G209" s="37" t="str">
        <x:v>P6-20, P6-21</x:v>
      </x:c>
      <x:c r="H209" s="37" t="str">
        <x:v>Không có vi phạm chưa được giải thích</x:v>
      </x:c>
      <x:c r="I209" s="38" t="str">
        <x:v>P0</x:v>
      </x:c>
      <x:c r="J209" s="38" t="str">
        <x:v>TODO</x:v>
      </x:c>
      <x:c r="K209" s="39" t="n">
        <x:f>IF(J209="DONE",1,IF(J209="REVIEW",0.8,IF(J209="DOING",0.5,0)))</x:f>
        <x:v>0</x:v>
      </x:c>
      <x:c r="L209" s="40"/>
      <x:c r="M209" s="40"/>
      <x:c r="N209" s="37" t="str"/>
    </x:row>
    <x:row r="210" ht="44" customHeight="1">
      <x:c r="A210" s="18" t="str">
        <x:v>P6-23</x:v>
      </x:c>
      <x:c r="B210" s="18" t="str">
        <x:v>Phase 6 - Staging</x:v>
      </x:c>
      <x:c r="C210" s="18" t="str">
        <x:v>Performance</x:v>
      </x:c>
      <x:c r="D210" s="37" t="str">
        <x:v>Chỉ thêm index cần thiết cho key và query kiểm tra</x:v>
      </x:c>
      <x:c r="E210" s="38" t="str">
        <x:v>A</x:v>
      </x:c>
      <x:c r="F210" s="38" t="str">
        <x:v>B</x:v>
      </x:c>
      <x:c r="G210" s="37" t="str">
        <x:v>P6-20</x:v>
      </x:c>
      <x:c r="H210" s="37" t="str">
        <x:v>Index phục vụ station + event_time; không tối ưu quá sớm</x:v>
      </x:c>
      <x:c r="I210" s="38" t="str">
        <x:v>P2</x:v>
      </x:c>
      <x:c r="J210" s="38" t="str">
        <x:v>TODO</x:v>
      </x:c>
      <x:c r="K210" s="39" t="n">
        <x:f>IF(J210="DONE",1,IF(J210="REVIEW",0.8,IF(J210="DOING",0.5,0)))</x:f>
        <x:v>0</x:v>
      </x:c>
      <x:c r="L210" s="40"/>
      <x:c r="M210" s="40"/>
      <x:c r="N210" s="37" t="str"/>
    </x:row>
    <x:row r="211" ht="44" customHeight="1">
      <x:c r="A211" s="18" t="str">
        <x:v>P6-24</x:v>
      </x:c>
      <x:c r="B211" s="18" t="str">
        <x:v>Phase 6 - Staging</x:v>
      </x:c>
      <x:c r="C211" s="18" t="str">
        <x:v>Airflow DAG</x:v>
      </x:c>
      <x:c r="D211" s="37" t="str">
        <x:v>Thêm task load PostgreSQL sau processing</x:v>
      </x:c>
      <x:c r="E211" s="38" t="str">
        <x:v>A</x:v>
      </x:c>
      <x:c r="F211" s="38" t="str">
        <x:v>B</x:v>
      </x:c>
      <x:c r="G211" s="37" t="str">
        <x:v>P4-24, P6-16</x:v>
      </x:c>
      <x:c r="H211" s="37" t="str">
        <x:v>Dependency raw → processed → staging chạy đúng</x:v>
      </x:c>
      <x:c r="I211" s="38" t="str">
        <x:v>P0</x:v>
      </x:c>
      <x:c r="J211" s="38" t="str">
        <x:v>TODO</x:v>
      </x:c>
      <x:c r="K211" s="39" t="n">
        <x:f>IF(J211="DONE",1,IF(J211="REVIEW",0.8,IF(J211="DOING",0.5,0)))</x:f>
        <x:v>0</x:v>
      </x:c>
      <x:c r="L211" s="40"/>
      <x:c r="M211" s="40"/>
      <x:c r="N211" s="37" t="str"/>
    </x:row>
    <x:row r="212" ht="44" customHeight="1">
      <x:c r="A212" s="18" t="str">
        <x:v>P6-25</x:v>
      </x:c>
      <x:c r="B212" s="18" t="str">
        <x:v>Phase 6 - Staging</x:v>
      </x:c>
      <x:c r="C212" s="18" t="str">
        <x:v>Airflow validation</x:v>
      </x:c>
      <x:c r="D212" s="37" t="str">
        <x:v>Chạy DAG một station đến staging</x:v>
      </x:c>
      <x:c r="E212" s="38" t="str">
        <x:v>B</x:v>
      </x:c>
      <x:c r="F212" s="38" t="str">
        <x:v>A</x:v>
      </x:c>
      <x:c r="G212" s="37" t="str">
        <x:v>P6-24</x:v>
      </x:c>
      <x:c r="H212" s="37" t="str">
        <x:v>Task status rõ; row count sau DAG đúng</x:v>
      </x:c>
      <x:c r="I212" s="38" t="str">
        <x:v>P0</x:v>
      </x:c>
      <x:c r="J212" s="38" t="str">
        <x:v>TODO</x:v>
      </x:c>
      <x:c r="K212" s="39" t="n">
        <x:f>IF(J212="DONE",1,IF(J212="REVIEW",0.8,IF(J212="DOING",0.5,0)))</x:f>
        <x:v>0</x:v>
      </x:c>
      <x:c r="L212" s="40"/>
      <x:c r="M212" s="40"/>
      <x:c r="N212" s="37" t="str"/>
    </x:row>
    <x:row r="213" ht="44" customHeight="1">
      <x:c r="A213" s="18" t="str">
        <x:v>P6-26</x:v>
      </x:c>
      <x:c r="B213" s="18" t="str">
        <x:v>Phase 6 - Staging</x:v>
      </x:c>
      <x:c r="C213" s="18" t="str">
        <x:v>dbt access</x:v>
      </x:c>
      <x:c r="D213" s="37" t="str">
        <x:v>Kiểm tra tài khoản dbt đọc được staging</x:v>
      </x:c>
      <x:c r="E213" s="38" t="str">
        <x:v>A</x:v>
      </x:c>
      <x:c r="F213" s="38" t="str">
        <x:v>B</x:v>
      </x:c>
      <x:c r="G213" s="37" t="str">
        <x:v>P6-22</x:v>
      </x:c>
      <x:c r="H213" s="37" t="str">
        <x:v>SELECT staging từ môi trường dbt thành công</x:v>
      </x:c>
      <x:c r="I213" s="38" t="str">
        <x:v>P0</x:v>
      </x:c>
      <x:c r="J213" s="38" t="str">
        <x:v>TODO</x:v>
      </x:c>
      <x:c r="K213" s="39" t="n">
        <x:f>IF(J213="DONE",1,IF(J213="REVIEW",0.8,IF(J213="DOING",0.5,0)))</x:f>
        <x:v>0</x:v>
      </x:c>
      <x:c r="L213" s="40"/>
      <x:c r="M213" s="40"/>
      <x:c r="N213" s="37" t="str"/>
    </x:row>
    <x:row r="214" ht="44" customHeight="1">
      <x:c r="A214" s="18" t="str">
        <x:v>P6-27</x:v>
      </x:c>
      <x:c r="B214" s="18" t="str">
        <x:v>Phase 6 - Staging</x:v>
      </x:c>
      <x:c r="C214" s="18" t="str">
        <x:v>Tái tạo</x:v>
      </x:c>
      <x:c r="D214" s="37" t="str">
        <x:v>Thành viên B tự chạy processed → staging</x:v>
      </x:c>
      <x:c r="E214" s="38" t="str">
        <x:v>B</x:v>
      </x:c>
      <x:c r="F214" s="38" t="str">
        <x:v>A</x:v>
      </x:c>
      <x:c r="G214" s="37" t="str">
        <x:v>P6-25, P6-26</x:v>
      </x:c>
      <x:c r="H214" s="37" t="str">
        <x:v>Load tái tạo được từ repo</x:v>
      </x:c>
      <x:c r="I214" s="38" t="str">
        <x:v>P1</x:v>
      </x:c>
      <x:c r="J214" s="38" t="str">
        <x:v>TODO</x:v>
      </x:c>
      <x:c r="K214" s="39" t="n">
        <x:f>IF(J214="DONE",1,IF(J214="REVIEW",0.8,IF(J214="DOING",0.5,0)))</x:f>
        <x:v>0</x:v>
      </x:c>
      <x:c r="L214" s="40"/>
      <x:c r="M214" s="40"/>
      <x:c r="N214" s="37" t="str"/>
    </x:row>
    <x:row r="215" ht="44" customHeight="1">
      <x:c r="A215" s="18" t="str">
        <x:v>P6-28</x:v>
      </x:c>
      <x:c r="B215" s="18" t="str">
        <x:v>Phase 6 - Staging</x:v>
      </x:c>
      <x:c r="C215" s="18" t="str">
        <x:v>Checkpoint</x:v>
      </x:c>
      <x:c r="D215" s="37" t="str">
        <x:v>Cập nhật schema docs, README và PROGRESS.md Phase 6</x:v>
      </x:c>
      <x:c r="E215" s="38" t="str">
        <x:v>B</x:v>
      </x:c>
      <x:c r="F215" s="38" t="str">
        <x:v>A</x:v>
      </x:c>
      <x:c r="G215" s="37" t="str">
        <x:v>P6-27</x:v>
      </x:c>
      <x:c r="H215" s="37" t="str">
        <x:v>Có DDL, load strategy, reconciliation và evidence</x:v>
      </x:c>
      <x:c r="I215" s="38" t="str">
        <x:v>P1</x:v>
      </x:c>
      <x:c r="J215" s="38" t="str">
        <x:v>TODO</x:v>
      </x:c>
      <x:c r="K215" s="39" t="n">
        <x:f>IF(J215="DONE",1,IF(J215="REVIEW",0.8,IF(J215="DOING",0.5,0)))</x:f>
        <x:v>0</x:v>
      </x:c>
      <x:c r="L215" s="40"/>
      <x:c r="M215" s="40"/>
      <x:c r="N215" s="37" t="str"/>
    </x:row>
    <x:row r="216" ht="44" customHeight="1">
      <x:c r="A216" s="18" t="str">
        <x:v>P7-01</x:v>
      </x:c>
      <x:c r="B216" s="18" t="str">
        <x:v>Phase 7 - dbt &amp; DWH</x:v>
      </x:c>
      <x:c r="C216" s="18" t="str">
        <x:v>Điều kiện đầu vào</x:v>
      </x:c>
      <x:c r="D216" s="37" t="str">
        <x:v>Xác nhận staging đã reconciled và dbt đọc được</x:v>
      </x:c>
      <x:c r="E216" s="38" t="str">
        <x:v>A+B</x:v>
      </x:c>
      <x:c r="F216" s="38" t="str">
        <x:v>A+B</x:v>
      </x:c>
      <x:c r="G216" s="37" t="str">
        <x:v>P6-28</x:v>
      </x:c>
      <x:c r="H216" s="37" t="str">
        <x:v>Phase 6 DONE; staging ổn định</x:v>
      </x:c>
      <x:c r="I216" s="38" t="str">
        <x:v>P0</x:v>
      </x:c>
      <x:c r="J216" s="38" t="str">
        <x:v>TODO</x:v>
      </x:c>
      <x:c r="K216" s="39" t="n">
        <x:f>IF(J216="DONE",1,IF(J216="REVIEW",0.8,IF(J216="DOING",0.5,0)))</x:f>
        <x:v>0</x:v>
      </x:c>
      <x:c r="L216" s="40"/>
      <x:c r="M216" s="40"/>
      <x:c r="N216" s="37" t="str"/>
    </x:row>
    <x:row r="217" ht="44" customHeight="1">
      <x:c r="A217" s="18" t="str">
        <x:v>P7-02</x:v>
      </x:c>
      <x:c r="B217" s="18" t="str">
        <x:v>Phase 7 - dbt &amp; DWH</x:v>
      </x:c>
      <x:c r="C217" s="18" t="str">
        <x:v>dbt project</x:v>
      </x:c>
      <x:c r="D217" s="37" t="str">
        <x:v>Khởi tạo dbt project cho PostgreSQL</x:v>
      </x:c>
      <x:c r="E217" s="38" t="str">
        <x:v>B</x:v>
      </x:c>
      <x:c r="F217" s="38" t="str">
        <x:v>A</x:v>
      </x:c>
      <x:c r="G217" s="37" t="str">
        <x:v>P7-01</x:v>
      </x:c>
      <x:c r="H217" s="37" t="str">
        <x:v>dbt debug chạy thành công</x:v>
      </x:c>
      <x:c r="I217" s="38" t="str">
        <x:v>P0</x:v>
      </x:c>
      <x:c r="J217" s="38" t="str">
        <x:v>TODO</x:v>
      </x:c>
      <x:c r="K217" s="39" t="n">
        <x:f>IF(J217="DONE",1,IF(J217="REVIEW",0.8,IF(J217="DOING",0.5,0)))</x:f>
        <x:v>0</x:v>
      </x:c>
      <x:c r="L217" s="40"/>
      <x:c r="M217" s="40"/>
      <x:c r="N217" s="37" t="str"/>
    </x:row>
    <x:row r="218" ht="44" customHeight="1">
      <x:c r="A218" s="18" t="str">
        <x:v>P7-03</x:v>
      </x:c>
      <x:c r="B218" s="18" t="str">
        <x:v>Phase 7 - dbt &amp; DWH</x:v>
      </x:c>
      <x:c r="C218" s="18" t="str">
        <x:v>dbt config</x:v>
      </x:c>
      <x:c r="D218" s="37" t="str">
        <x:v>Cấu hình profile bằng environment variables</x:v>
      </x:c>
      <x:c r="E218" s="38" t="str">
        <x:v>A</x:v>
      </x:c>
      <x:c r="F218" s="38" t="str">
        <x:v>B</x:v>
      </x:c>
      <x:c r="G218" s="37" t="str">
        <x:v>P7-02</x:v>
      </x:c>
      <x:c r="H218" s="37" t="str">
        <x:v>Không commit credential thật</x:v>
      </x:c>
      <x:c r="I218" s="38" t="str">
        <x:v>P0</x:v>
      </x:c>
      <x:c r="J218" s="38" t="str">
        <x:v>TODO</x:v>
      </x:c>
      <x:c r="K218" s="39" t="n">
        <x:f>IF(J218="DONE",1,IF(J218="REVIEW",0.8,IF(J218="DOING",0.5,0)))</x:f>
        <x:v>0</x:v>
      </x:c>
      <x:c r="L218" s="40"/>
      <x:c r="M218" s="40"/>
      <x:c r="N218" s="37" t="str"/>
    </x:row>
    <x:row r="219" ht="44" customHeight="1">
      <x:c r="A219" s="18" t="str">
        <x:v>P7-04</x:v>
      </x:c>
      <x:c r="B219" s="18" t="str">
        <x:v>Phase 7 - dbt &amp; DWH</x:v>
      </x:c>
      <x:c r="C219" s="18" t="str">
        <x:v>dbt sources</x:v>
      </x:c>
      <x:c r="D219" s="37" t="str">
        <x:v>Khai báo staging tables trong sources.yml</x:v>
      </x:c>
      <x:c r="E219" s="38" t="str">
        <x:v>B</x:v>
      </x:c>
      <x:c r="F219" s="38" t="str">
        <x:v>A</x:v>
      </x:c>
      <x:c r="G219" s="37" t="str">
        <x:v>P7-02, P6-26</x:v>
      </x:c>
      <x:c r="H219" s="37" t="str">
        <x:v>dbt source nhận đúng schema và tables</x:v>
      </x:c>
      <x:c r="I219" s="38" t="str">
        <x:v>P0</x:v>
      </x:c>
      <x:c r="J219" s="38" t="str">
        <x:v>TODO</x:v>
      </x:c>
      <x:c r="K219" s="39" t="n">
        <x:f>IF(J219="DONE",1,IF(J219="REVIEW",0.8,IF(J219="DOING",0.5,0)))</x:f>
        <x:v>0</x:v>
      </x:c>
      <x:c r="L219" s="40"/>
      <x:c r="M219" s="40"/>
      <x:c r="N219" s="37" t="str"/>
    </x:row>
    <x:row r="220" ht="44" customHeight="1">
      <x:c r="A220" s="18" t="str">
        <x:v>P7-05</x:v>
      </x:c>
      <x:c r="B220" s="18" t="str">
        <x:v>Phase 7 - dbt &amp; DWH</x:v>
      </x:c>
      <x:c r="C220" s="18" t="str">
        <x:v>Source tests</x:v>
      </x:c>
      <x:c r="D220" s="37" t="str">
        <x:v>Thêm source freshness hoặc kiểm tra phù hợp với batch lịch sử</x:v>
      </x:c>
      <x:c r="E220" s="38" t="str">
        <x:v>B</x:v>
      </x:c>
      <x:c r="F220" s="38" t="str">
        <x:v>A</x:v>
      </x:c>
      <x:c r="G220" s="37" t="str">
        <x:v>P7-04</x:v>
      </x:c>
      <x:c r="H220" s="37" t="str">
        <x:v>Không áp freshness không phù hợp; kiểm tra batch được document</x:v>
      </x:c>
      <x:c r="I220" s="38" t="str">
        <x:v>P2</x:v>
      </x:c>
      <x:c r="J220" s="38" t="str">
        <x:v>TODO</x:v>
      </x:c>
      <x:c r="K220" s="39" t="n">
        <x:f>IF(J220="DONE",1,IF(J220="REVIEW",0.8,IF(J220="DOING",0.5,0)))</x:f>
        <x:v>0</x:v>
      </x:c>
      <x:c r="L220" s="40"/>
      <x:c r="M220" s="40"/>
      <x:c r="N220" s="37" t="str"/>
    </x:row>
    <x:row r="221" ht="44" customHeight="1">
      <x:c r="A221" s="18" t="str">
        <x:v>P7-06</x:v>
      </x:c>
      <x:c r="B221" s="18" t="str">
        <x:v>Phase 7 - dbt &amp; DWH</x:v>
      </x:c>
      <x:c r="C221" s="18" t="str">
        <x:v>Staging models</x:v>
      </x:c>
      <x:c r="D221" s="37" t="str">
        <x:v>Tạo stg_air_quality</x:v>
      </x:c>
      <x:c r="E221" s="38" t="str">
        <x:v>B</x:v>
      </x:c>
      <x:c r="F221" s="38" t="str">
        <x:v>A</x:v>
      </x:c>
      <x:c r="G221" s="37" t="str">
        <x:v>P7-04</x:v>
      </x:c>
      <x:c r="H221" s="37" t="str">
        <x:v>Model SQL nhẹ, rename/cast/source abstraction rõ</x:v>
      </x:c>
      <x:c r="I221" s="38" t="str">
        <x:v>P0</x:v>
      </x:c>
      <x:c r="J221" s="38" t="str">
        <x:v>TODO</x:v>
      </x:c>
      <x:c r="K221" s="39" t="n">
        <x:f>IF(J221="DONE",1,IF(J221="REVIEW",0.8,IF(J221="DOING",0.5,0)))</x:f>
        <x:v>0</x:v>
      </x:c>
      <x:c r="L221" s="40"/>
      <x:c r="M221" s="40"/>
      <x:c r="N221" s="37" t="str"/>
    </x:row>
    <x:row r="222" ht="44" customHeight="1">
      <x:c r="A222" s="18" t="str">
        <x:v>P7-07</x:v>
      </x:c>
      <x:c r="B222" s="18" t="str">
        <x:v>Phase 7 - dbt &amp; DWH</x:v>
      </x:c>
      <x:c r="C222" s="18" t="str">
        <x:v>Staging models</x:v>
      </x:c>
      <x:c r="D222" s="37" t="str">
        <x:v>Tạo stg_station</x:v>
      </x:c>
      <x:c r="E222" s="38" t="str">
        <x:v>B</x:v>
      </x:c>
      <x:c r="F222" s="38" t="str">
        <x:v>A</x:v>
      </x:c>
      <x:c r="G222" s="37" t="str">
        <x:v>P7-04</x:v>
      </x:c>
      <x:c r="H222" s="37" t="str">
        <x:v>Station code và metadata được chuẩn hóa</x:v>
      </x:c>
      <x:c r="I222" s="38" t="str">
        <x:v>P0</x:v>
      </x:c>
      <x:c r="J222" s="38" t="str">
        <x:v>TODO</x:v>
      </x:c>
      <x:c r="K222" s="39" t="n">
        <x:f>IF(J222="DONE",1,IF(J222="REVIEW",0.8,IF(J222="DOING",0.5,0)))</x:f>
        <x:v>0</x:v>
      </x:c>
      <x:c r="L222" s="40"/>
      <x:c r="M222" s="40"/>
      <x:c r="N222" s="37" t="str"/>
    </x:row>
    <x:row r="223" ht="44" customHeight="1">
      <x:c r="A223" s="18" t="str">
        <x:v>P7-08</x:v>
      </x:c>
      <x:c r="B223" s="18" t="str">
        <x:v>Phase 7 - dbt &amp; DWH</x:v>
      </x:c>
      <x:c r="C223" s="18" t="str">
        <x:v>Staging models</x:v>
      </x:c>
      <x:c r="D223" s="37" t="str">
        <x:v>Nếu giữ Open-Meteo: tạo stg_weather_openmeteo</x:v>
      </x:c>
      <x:c r="E223" s="38" t="str">
        <x:v>B</x:v>
      </x:c>
      <x:c r="F223" s="38" t="str">
        <x:v>A</x:v>
      </x:c>
      <x:c r="G223" s="37" t="str">
        <x:v>P5-23, P7-04</x:v>
      </x:c>
      <x:c r="H223" s="37" t="str">
        <x:v>Model chỉ gồm variables đã được duyệt</x:v>
      </x:c>
      <x:c r="I223" s="38" t="str">
        <x:v>P1</x:v>
      </x:c>
      <x:c r="J223" s="38" t="str">
        <x:v>TODO</x:v>
      </x:c>
      <x:c r="K223" s="39" t="n">
        <x:f>IF(J223="DONE",1,IF(J223="REVIEW",0.8,IF(J223="DOING",0.5,0)))</x:f>
        <x:v>0</x:v>
      </x:c>
      <x:c r="L223" s="40"/>
      <x:c r="M223" s="40"/>
      <x:c r="N223" s="37" t="str"/>
    </x:row>
    <x:row r="224" ht="44" customHeight="1">
      <x:c r="A224" s="18" t="str">
        <x:v>P7-09</x:v>
      </x:c>
      <x:c r="B224" s="18" t="str">
        <x:v>Phase 7 - dbt &amp; DWH</x:v>
      </x:c>
      <x:c r="C224" s="18" t="str">
        <x:v>Model tests</x:v>
      </x:c>
      <x:c r="D224" s="37" t="str">
        <x:v>Thêm not_null và unique test phù hợp cho staging models</x:v>
      </x:c>
      <x:c r="E224" s="38" t="str">
        <x:v>B</x:v>
      </x:c>
      <x:c r="F224" s="38" t="str">
        <x:v>A</x:v>
      </x:c>
      <x:c r="G224" s="37" t="str">
        <x:v>P7-06 đến P7-08</x:v>
      </x:c>
      <x:c r="H224" s="37" t="str">
        <x:v>Test không ép not_null lên measurement được phép thiếu</x:v>
      </x:c>
      <x:c r="I224" s="38" t="str">
        <x:v>P0</x:v>
      </x:c>
      <x:c r="J224" s="38" t="str">
        <x:v>TODO</x:v>
      </x:c>
      <x:c r="K224" s="39" t="n">
        <x:f>IF(J224="DONE",1,IF(J224="REVIEW",0.8,IF(J224="DOING",0.5,0)))</x:f>
        <x:v>0</x:v>
      </x:c>
      <x:c r="L224" s="40"/>
      <x:c r="M224" s="40"/>
      <x:c r="N224" s="37" t="str"/>
    </x:row>
    <x:row r="225" ht="44" customHeight="1">
      <x:c r="A225" s="18" t="str">
        <x:v>P7-10</x:v>
      </x:c>
      <x:c r="B225" s="18" t="str">
        <x:v>Phase 7 - dbt &amp; DWH</x:v>
      </x:c>
      <x:c r="C225" s="18" t="str">
        <x:v>Grain Gate</x:v>
      </x:c>
      <x:c r="D225" s="37" t="str">
        <x:v>Xác nhận grain DWH là một station tại một giờ</x:v>
      </x:c>
      <x:c r="E225" s="38" t="str">
        <x:v>A+B</x:v>
      </x:c>
      <x:c r="F225" s="38" t="str">
        <x:v>A+B</x:v>
      </x:c>
      <x:c r="G225" s="37" t="str">
        <x:v>P1-39, P6-22</x:v>
      </x:c>
      <x:c r="H225" s="37" t="str">
        <x:v>Grain được document và key columns được chốt</x:v>
      </x:c>
      <x:c r="I225" s="38" t="str">
        <x:v>P0</x:v>
      </x:c>
      <x:c r="J225" s="38" t="str">
        <x:v>TODO</x:v>
      </x:c>
      <x:c r="K225" s="39" t="n">
        <x:f>IF(J225="DONE",1,IF(J225="REVIEW",0.8,IF(J225="DOING",0.5,0)))</x:f>
        <x:v>0</x:v>
      </x:c>
      <x:c r="L225" s="40"/>
      <x:c r="M225" s="40"/>
      <x:c r="N225" s="37" t="str"/>
    </x:row>
    <x:row r="226" ht="44" customHeight="1">
      <x:c r="A226" s="18" t="str">
        <x:v>P7-11</x:v>
      </x:c>
      <x:c r="B226" s="18" t="str">
        <x:v>Phase 7 - dbt &amp; DWH</x:v>
      </x:c>
      <x:c r="C226" s="18" t="str">
        <x:v>Weather Gate</x:v>
      </x:c>
      <x:c r="D226" s="37" t="str">
        <x:v>Chọn weather cùng fact hay fact riêng</x:v>
      </x:c>
      <x:c r="E226" s="38" t="str">
        <x:v>A+B</x:v>
      </x:c>
      <x:c r="F226" s="38" t="str">
        <x:v>A+B</x:v>
      </x:c>
      <x:c r="G226" s="37" t="str">
        <x:v>P5-23, P7-10</x:v>
      </x:c>
      <x:c r="H226" s="37" t="str">
        <x:v>Quyết định dựa trên grain và scope nguồn thực tế</x:v>
      </x:c>
      <x:c r="I226" s="38" t="str">
        <x:v>P0</x:v>
      </x:c>
      <x:c r="J226" s="38" t="str">
        <x:v>TODO</x:v>
      </x:c>
      <x:c r="K226" s="39" t="n">
        <x:f>IF(J226="DONE",1,IF(J226="REVIEW",0.8,IF(J226="DOING",0.5,0)))</x:f>
        <x:v>0</x:v>
      </x:c>
      <x:c r="L226" s="40"/>
      <x:c r="M226" s="40"/>
      <x:c r="N226" s="37" t="str"/>
    </x:row>
    <x:row r="227" ht="44" customHeight="1">
      <x:c r="A227" s="18" t="str">
        <x:v>P7-12</x:v>
      </x:c>
      <x:c r="B227" s="18" t="str">
        <x:v>Phase 7 - dbt &amp; DWH</x:v>
      </x:c>
      <x:c r="C227" s="18" t="str">
        <x:v>Dimensional design</x:v>
      </x:c>
      <x:c r="D227" s="37" t="str">
        <x:v>Vẽ star schema bản chốt</x:v>
      </x:c>
      <x:c r="E227" s="38" t="str">
        <x:v>B</x:v>
      </x:c>
      <x:c r="F227" s="38" t="str">
        <x:v>A</x:v>
      </x:c>
      <x:c r="G227" s="37" t="str">
        <x:v>P7-10, P7-11</x:v>
      </x:c>
      <x:c r="H227" s="37" t="str">
        <x:v>Fact, dimensions, keys và relationships rõ</x:v>
      </x:c>
      <x:c r="I227" s="38" t="str">
        <x:v>P0</x:v>
      </x:c>
      <x:c r="J227" s="38" t="str">
        <x:v>TODO</x:v>
      </x:c>
      <x:c r="K227" s="39" t="n">
        <x:f>IF(J227="DONE",1,IF(J227="REVIEW",0.8,IF(J227="DOING",0.5,0)))</x:f>
        <x:v>0</x:v>
      </x:c>
      <x:c r="L227" s="40"/>
      <x:c r="M227" s="40"/>
      <x:c r="N227" s="37" t="str"/>
    </x:row>
    <x:row r="228" ht="44" customHeight="1">
      <x:c r="A228" s="18" t="str">
        <x:v>P7-13</x:v>
      </x:c>
      <x:c r="B228" s="18" t="str">
        <x:v>Phase 7 - dbt &amp; DWH</x:v>
      </x:c>
      <x:c r="C228" s="18" t="str">
        <x:v>DimStation</x:v>
      </x:c>
      <x:c r="D228" s="37" t="str">
        <x:v>Thiết kế dim_station</x:v>
      </x:c>
      <x:c r="E228" s="38" t="str">
        <x:v>B</x:v>
      </x:c>
      <x:c r="F228" s="38" t="str">
        <x:v>A</x:v>
      </x:c>
      <x:c r="G228" s="37" t="str">
        <x:v>P7-07, P7-12</x:v>
      </x:c>
      <x:c r="H228" s="37" t="str">
        <x:v>Chỉ dùng geo metadata đã xác minh</x:v>
      </x:c>
      <x:c r="I228" s="38" t="str">
        <x:v>P0</x:v>
      </x:c>
      <x:c r="J228" s="38" t="str">
        <x:v>TODO</x:v>
      </x:c>
      <x:c r="K228" s="39" t="n">
        <x:f>IF(J228="DONE",1,IF(J228="REVIEW",0.8,IF(J228="DOING",0.5,0)))</x:f>
        <x:v>0</x:v>
      </x:c>
      <x:c r="L228" s="40"/>
      <x:c r="M228" s="40"/>
      <x:c r="N228" s="37" t="str"/>
    </x:row>
    <x:row r="229" ht="44" customHeight="1">
      <x:c r="A229" s="18" t="str">
        <x:v>P7-14</x:v>
      </x:c>
      <x:c r="B229" s="18" t="str">
        <x:v>Phase 7 - dbt &amp; DWH</x:v>
      </x:c>
      <x:c r="C229" s="18" t="str">
        <x:v>DimDate</x:v>
      </x:c>
      <x:c r="D229" s="37" t="str">
        <x:v>Thiết kế dim_date</x:v>
      </x:c>
      <x:c r="E229" s="38" t="str">
        <x:v>B</x:v>
      </x:c>
      <x:c r="F229" s="38" t="str">
        <x:v>A</x:v>
      </x:c>
      <x:c r="G229" s="37" t="str">
        <x:v>P7-12</x:v>
      </x:c>
      <x:c r="H229" s="37" t="str">
        <x:v>Có date key, year, quarter, month, weekday và season rule</x:v>
      </x:c>
      <x:c r="I229" s="38" t="str">
        <x:v>P0</x:v>
      </x:c>
      <x:c r="J229" s="38" t="str">
        <x:v>TODO</x:v>
      </x:c>
      <x:c r="K229" s="39" t="n">
        <x:f>IF(J229="DONE",1,IF(J229="REVIEW",0.8,IF(J229="DOING",0.5,0)))</x:f>
        <x:v>0</x:v>
      </x:c>
      <x:c r="L229" s="40"/>
      <x:c r="M229" s="40"/>
      <x:c r="N229" s="37" t="str"/>
    </x:row>
    <x:row r="230" ht="44" customHeight="1">
      <x:c r="A230" s="18" t="str">
        <x:v>P7-15</x:v>
      </x:c>
      <x:c r="B230" s="18" t="str">
        <x:v>Phase 7 - dbt &amp; DWH</x:v>
      </x:c>
      <x:c r="C230" s="18" t="str">
        <x:v>DimTime</x:v>
      </x:c>
      <x:c r="D230" s="37" t="str">
        <x:v>Quyết định tách dim_time hoặc giữ hour trong fact</x:v>
      </x:c>
      <x:c r="E230" s="38" t="str">
        <x:v>A+B</x:v>
      </x:c>
      <x:c r="F230" s="38" t="str">
        <x:v>A+B</x:v>
      </x:c>
      <x:c r="G230" s="37" t="str">
        <x:v>P7-12</x:v>
      </x:c>
      <x:c r="H230" s="37" t="str">
        <x:v>Quyết định đơn giản và phù hợp query</x:v>
      </x:c>
      <x:c r="I230" s="38" t="str">
        <x:v>P1</x:v>
      </x:c>
      <x:c r="J230" s="38" t="str">
        <x:v>TODO</x:v>
      </x:c>
      <x:c r="K230" s="39" t="n">
        <x:f>IF(J230="DONE",1,IF(J230="REVIEW",0.8,IF(J230="DOING",0.5,0)))</x:f>
        <x:v>0</x:v>
      </x:c>
      <x:c r="L230" s="40"/>
      <x:c r="M230" s="40"/>
      <x:c r="N230" s="37" t="str"/>
    </x:row>
    <x:row r="231" ht="44" customHeight="1">
      <x:c r="A231" s="18" t="str">
        <x:v>P7-16</x:v>
      </x:c>
      <x:c r="B231" s="18" t="str">
        <x:v>Phase 7 - dbt &amp; DWH</x:v>
      </x:c>
      <x:c r="C231" s="18" t="str">
        <x:v>DimStation</x:v>
      </x:c>
      <x:c r="D231" s="37" t="str">
        <x:v>Viết dbt model dim_station</x:v>
      </x:c>
      <x:c r="E231" s="38" t="str">
        <x:v>B</x:v>
      </x:c>
      <x:c r="F231" s="38" t="str">
        <x:v>A</x:v>
      </x:c>
      <x:c r="G231" s="37" t="str">
        <x:v>P7-13</x:v>
      </x:c>
      <x:c r="H231" s="37" t="str">
        <x:v>Một row mỗi station; station key ổn định</x:v>
      </x:c>
      <x:c r="I231" s="38" t="str">
        <x:v>P0</x:v>
      </x:c>
      <x:c r="J231" s="38" t="str">
        <x:v>TODO</x:v>
      </x:c>
      <x:c r="K231" s="39" t="n">
        <x:f>IF(J231="DONE",1,IF(J231="REVIEW",0.8,IF(J231="DOING",0.5,0)))</x:f>
        <x:v>0</x:v>
      </x:c>
      <x:c r="L231" s="40"/>
      <x:c r="M231" s="40"/>
      <x:c r="N231" s="37" t="str"/>
    </x:row>
    <x:row r="232" ht="44" customHeight="1">
      <x:c r="A232" s="18" t="str">
        <x:v>P7-17</x:v>
      </x:c>
      <x:c r="B232" s="18" t="str">
        <x:v>Phase 7 - dbt &amp; DWH</x:v>
      </x:c>
      <x:c r="C232" s="18" t="str">
        <x:v>DimDate</x:v>
      </x:c>
      <x:c r="D232" s="37" t="str">
        <x:v>Viết dbt model dim_date</x:v>
      </x:c>
      <x:c r="E232" s="38" t="str">
        <x:v>B</x:v>
      </x:c>
      <x:c r="F232" s="38" t="str">
        <x:v>A</x:v>
      </x:c>
      <x:c r="G232" s="37" t="str">
        <x:v>P7-14</x:v>
      </x:c>
      <x:c r="H232" s="37" t="str">
        <x:v>Bao phủ toàn date range và thuộc tính thời gian đúng</x:v>
      </x:c>
      <x:c r="I232" s="38" t="str">
        <x:v>P0</x:v>
      </x:c>
      <x:c r="J232" s="38" t="str">
        <x:v>TODO</x:v>
      </x:c>
      <x:c r="K232" s="39" t="n">
        <x:f>IF(J232="DONE",1,IF(J232="REVIEW",0.8,IF(J232="DOING",0.5,0)))</x:f>
        <x:v>0</x:v>
      </x:c>
      <x:c r="L232" s="40"/>
      <x:c r="M232" s="40"/>
      <x:c r="N232" s="37" t="str"/>
    </x:row>
    <x:row r="233" ht="44" customHeight="1">
      <x:c r="A233" s="18" t="str">
        <x:v>P7-18</x:v>
      </x:c>
      <x:c r="B233" s="18" t="str">
        <x:v>Phase 7 - dbt &amp; DWH</x:v>
      </x:c>
      <x:c r="C233" s="18" t="str">
        <x:v>DimTime</x:v>
      </x:c>
      <x:c r="D233" s="37" t="str">
        <x:v>Nếu tách: viết dbt model dim_time</x:v>
      </x:c>
      <x:c r="E233" s="38" t="str">
        <x:v>B</x:v>
      </x:c>
      <x:c r="F233" s="38" t="str">
        <x:v>A</x:v>
      </x:c>
      <x:c r="G233" s="37" t="str">
        <x:v>P7-15</x:v>
      </x:c>
      <x:c r="H233" s="37" t="str">
        <x:v>Có đủ 24 giờ và day_part rule được document</x:v>
      </x:c>
      <x:c r="I233" s="38" t="str">
        <x:v>P1</x:v>
      </x:c>
      <x:c r="J233" s="38" t="str">
        <x:v>TODO</x:v>
      </x:c>
      <x:c r="K233" s="39" t="n">
        <x:f>IF(J233="DONE",1,IF(J233="REVIEW",0.8,IF(J233="DOING",0.5,0)))</x:f>
        <x:v>0</x:v>
      </x:c>
      <x:c r="L233" s="40"/>
      <x:c r="M233" s="40"/>
      <x:c r="N233" s="37" t="str"/>
    </x:row>
    <x:row r="234" ht="44" customHeight="1">
      <x:c r="A234" s="18" t="str">
        <x:v>P7-19</x:v>
      </x:c>
      <x:c r="B234" s="18" t="str">
        <x:v>Phase 7 - dbt &amp; DWH</x:v>
      </x:c>
      <x:c r="C234" s="18" t="str">
        <x:v>Fact design</x:v>
      </x:c>
      <x:c r="D234" s="37" t="str">
        <x:v>Chốt measures và foreign keys fact_air_quality_hourly</x:v>
      </x:c>
      <x:c r="E234" s="38" t="str">
        <x:v>A+B</x:v>
      </x:c>
      <x:c r="F234" s="38" t="str">
        <x:v>A+B</x:v>
      </x:c>
      <x:c r="G234" s="37" t="str">
        <x:v>P7-11, P7-12</x:v>
      </x:c>
      <x:c r="H234" s="37" t="str">
        <x:v>Pollutants, weather và quality flags được phân vai rõ</x:v>
      </x:c>
      <x:c r="I234" s="38" t="str">
        <x:v>P0</x:v>
      </x:c>
      <x:c r="J234" s="38" t="str">
        <x:v>TODO</x:v>
      </x:c>
      <x:c r="K234" s="39" t="n">
        <x:f>IF(J234="DONE",1,IF(J234="REVIEW",0.8,IF(J234="DOING",0.5,0)))</x:f>
        <x:v>0</x:v>
      </x:c>
      <x:c r="L234" s="40"/>
      <x:c r="M234" s="40"/>
      <x:c r="N234" s="37" t="str"/>
    </x:row>
    <x:row r="235" ht="44" customHeight="1">
      <x:c r="A235" s="18" t="str">
        <x:v>P7-20</x:v>
      </x:c>
      <x:c r="B235" s="18" t="str">
        <x:v>Phase 7 - dbt &amp; DWH</x:v>
      </x:c>
      <x:c r="C235" s="18" t="str">
        <x:v>Fact model</x:v>
      </x:c>
      <x:c r="D235" s="37" t="str">
        <x:v>Viết dbt model fact_air_quality_hourly</x:v>
      </x:c>
      <x:c r="E235" s="38" t="str">
        <x:v>B</x:v>
      </x:c>
      <x:c r="F235" s="38" t="str">
        <x:v>A</x:v>
      </x:c>
      <x:c r="G235" s="37" t="str">
        <x:v>P7-16 đến P7-19</x:v>
      </x:c>
      <x:c r="H235" s="37" t="str">
        <x:v>Một row mỗi station-hour; đủ lineage/key cần thiết</x:v>
      </x:c>
      <x:c r="I235" s="38" t="str">
        <x:v>P0</x:v>
      </x:c>
      <x:c r="J235" s="38" t="str">
        <x:v>TODO</x:v>
      </x:c>
      <x:c r="K235" s="39" t="n">
        <x:f>IF(J235="DONE",1,IF(J235="REVIEW",0.8,IF(J235="DOING",0.5,0)))</x:f>
        <x:v>0</x:v>
      </x:c>
      <x:c r="L235" s="40"/>
      <x:c r="M235" s="40"/>
      <x:c r="N235" s="37" t="str"/>
    </x:row>
    <x:row r="236" ht="44" customHeight="1">
      <x:c r="A236" s="18" t="str">
        <x:v>P7-21</x:v>
      </x:c>
      <x:c r="B236" s="18" t="str">
        <x:v>Phase 7 - dbt &amp; DWH</x:v>
      </x:c>
      <x:c r="C236" s="18" t="str">
        <x:v>Weather fact</x:v>
      </x:c>
      <x:c r="D236" s="37" t="str">
        <x:v>Nếu tách weather: viết fact_weather_hourly</x:v>
      </x:c>
      <x:c r="E236" s="38" t="str">
        <x:v>B</x:v>
      </x:c>
      <x:c r="F236" s="38" t="str">
        <x:v>A</x:v>
      </x:c>
      <x:c r="G236" s="37" t="str">
        <x:v>P7-11, P7-19</x:v>
      </x:c>
      <x:c r="H236" s="37" t="str">
        <x:v>Weather fact đúng grain và nguồn được phân biệt</x:v>
      </x:c>
      <x:c r="I236" s="38" t="str">
        <x:v>P1</x:v>
      </x:c>
      <x:c r="J236" s="38" t="str">
        <x:v>TODO</x:v>
      </x:c>
      <x:c r="K236" s="39" t="n">
        <x:f>IF(J236="DONE",1,IF(J236="REVIEW",0.8,IF(J236="DOING",0.5,0)))</x:f>
        <x:v>0</x:v>
      </x:c>
      <x:c r="L236" s="40"/>
      <x:c r="M236" s="40"/>
      <x:c r="N236" s="37" t="str"/>
    </x:row>
    <x:row r="237" ht="44" customHeight="1">
      <x:c r="A237" s="18" t="str">
        <x:v>P7-22</x:v>
      </x:c>
      <x:c r="B237" s="18" t="str">
        <x:v>Phase 7 - dbt &amp; DWH</x:v>
      </x:c>
      <x:c r="C237" s="18" t="str">
        <x:v>Relationship tests</x:v>
      </x:c>
      <x:c r="D237" s="37" t="str">
        <x:v>Thêm relationships test từ fact đến dimensions</x:v>
      </x:c>
      <x:c r="E237" s="38" t="str">
        <x:v>B</x:v>
      </x:c>
      <x:c r="F237" s="38" t="str">
        <x:v>A</x:v>
      </x:c>
      <x:c r="G237" s="37" t="str">
        <x:v>P7-20, P7-21</x:v>
      </x:c>
      <x:c r="H237" s="37" t="str">
        <x:v>Không có orphan key chưa giải thích</x:v>
      </x:c>
      <x:c r="I237" s="38" t="str">
        <x:v>P0</x:v>
      </x:c>
      <x:c r="J237" s="38" t="str">
        <x:v>TODO</x:v>
      </x:c>
      <x:c r="K237" s="39" t="n">
        <x:f>IF(J237="DONE",1,IF(J237="REVIEW",0.8,IF(J237="DOING",0.5,0)))</x:f>
        <x:v>0</x:v>
      </x:c>
      <x:c r="L237" s="40"/>
      <x:c r="M237" s="40"/>
      <x:c r="N237" s="37" t="str"/>
    </x:row>
    <x:row r="238" ht="44" customHeight="1">
      <x:c r="A238" s="18" t="str">
        <x:v>P7-23</x:v>
      </x:c>
      <x:c r="B238" s="18" t="str">
        <x:v>Phase 7 - dbt &amp; DWH</x:v>
      </x:c>
      <x:c r="C238" s="18" t="str">
        <x:v>Key tests</x:v>
      </x:c>
      <x:c r="D238" s="37" t="str">
        <x:v>Thêm unique/not_null test cho business grain và dimension keys</x:v>
      </x:c>
      <x:c r="E238" s="38" t="str">
        <x:v>B</x:v>
      </x:c>
      <x:c r="F238" s="38" t="str">
        <x:v>A</x:v>
      </x:c>
      <x:c r="G238" s="37" t="str">
        <x:v>P7-16 đến P7-21</x:v>
      </x:c>
      <x:c r="H238" s="37" t="str">
        <x:v>Grain violation làm dbt test fail</x:v>
      </x:c>
      <x:c r="I238" s="38" t="str">
        <x:v>P0</x:v>
      </x:c>
      <x:c r="J238" s="38" t="str">
        <x:v>TODO</x:v>
      </x:c>
      <x:c r="K238" s="39" t="n">
        <x:f>IF(J238="DONE",1,IF(J238="REVIEW",0.8,IF(J238="DOING",0.5,0)))</x:f>
        <x:v>0</x:v>
      </x:c>
      <x:c r="L238" s="40"/>
      <x:c r="M238" s="40"/>
      <x:c r="N238" s="37" t="str"/>
    </x:row>
    <x:row r="239" ht="44" customHeight="1">
      <x:c r="A239" s="18" t="str">
        <x:v>P7-24</x:v>
      </x:c>
      <x:c r="B239" s="18" t="str">
        <x:v>Phase 7 - dbt &amp; DWH</x:v>
      </x:c>
      <x:c r="C239" s="18" t="str">
        <x:v>Accepted values</x:v>
      </x:c>
      <x:c r="D239" s="37" t="str">
        <x:v>Thêm accepted_values cho trường phân loại phù hợp</x:v>
      </x:c>
      <x:c r="E239" s="38" t="str">
        <x:v>B</x:v>
      </x:c>
      <x:c r="F239" s="38" t="str">
        <x:v>A</x:v>
      </x:c>
      <x:c r="G239" s="37" t="str">
        <x:v>P7-16 đến P7-21</x:v>
      </x:c>
      <x:c r="H239" s="37" t="str">
        <x:v>Chỉ kiểm tra domain có danh sách hợp lệ rõ</x:v>
      </x:c>
      <x:c r="I239" s="38" t="str">
        <x:v>P1</x:v>
      </x:c>
      <x:c r="J239" s="38" t="str">
        <x:v>TODO</x:v>
      </x:c>
      <x:c r="K239" s="39" t="n">
        <x:f>IF(J239="DONE",1,IF(J239="REVIEW",0.8,IF(J239="DOING",0.5,0)))</x:f>
        <x:v>0</x:v>
      </x:c>
      <x:c r="L239" s="40"/>
      <x:c r="M239" s="40"/>
      <x:c r="N239" s="37" t="str"/>
    </x:row>
    <x:row r="240" ht="44" customHeight="1">
      <x:c r="A240" s="18" t="str">
        <x:v>P7-25</x:v>
      </x:c>
      <x:c r="B240" s="18" t="str">
        <x:v>Phase 7 - dbt &amp; DWH</x:v>
      </x:c>
      <x:c r="C240" s="18" t="str">
        <x:v>Reconciliation</x:v>
      </x:c>
      <x:c r="D240" s="37" t="str">
        <x:v>Đối chiếu fact row count với staging theo grain</x:v>
      </x:c>
      <x:c r="E240" s="38" t="str">
        <x:v>A</x:v>
      </x:c>
      <x:c r="F240" s="38" t="str">
        <x:v>B</x:v>
      </x:c>
      <x:c r="G240" s="37" t="str">
        <x:v>P7-20</x:v>
      </x:c>
      <x:c r="H240" s="37" t="str">
        <x:v>Chênh lệch được giải thích; không mất row âm thầm</x:v>
      </x:c>
      <x:c r="I240" s="38" t="str">
        <x:v>P0</x:v>
      </x:c>
      <x:c r="J240" s="38" t="str">
        <x:v>TODO</x:v>
      </x:c>
      <x:c r="K240" s="39" t="n">
        <x:f>IF(J240="DONE",1,IF(J240="REVIEW",0.8,IF(J240="DOING",0.5,0)))</x:f>
        <x:v>0</x:v>
      </x:c>
      <x:c r="L240" s="40"/>
      <x:c r="M240" s="40"/>
      <x:c r="N240" s="37" t="str"/>
    </x:row>
    <x:row r="241" ht="44" customHeight="1">
      <x:c r="A241" s="18" t="str">
        <x:v>P7-26</x:v>
      </x:c>
      <x:c r="B241" s="18" t="str">
        <x:v>Phase 7 - dbt &amp; DWH</x:v>
      </x:c>
      <x:c r="C241" s="18" t="str">
        <x:v>Mart requirements</x:v>
      </x:c>
      <x:c r="D241" s="37" t="str">
        <x:v>Liệt kê các query thật cho dashboard và EDA</x:v>
      </x:c>
      <x:c r="E241" s="38" t="str">
        <x:v>B</x:v>
      </x:c>
      <x:c r="F241" s="38" t="str">
        <x:v>A</x:v>
      </x:c>
      <x:c r="G241" s="37" t="str">
        <x:v>P7-20</x:v>
      </x:c>
      <x:c r="H241" s="37" t="str">
        <x:v>Mỗi mart đề xuất gắn với ít nhất một query sử dụng</x:v>
      </x:c>
      <x:c r="I241" s="38" t="str">
        <x:v>P0</x:v>
      </x:c>
      <x:c r="J241" s="38" t="str">
        <x:v>TODO</x:v>
      </x:c>
      <x:c r="K241" s="39" t="n">
        <x:f>IF(J241="DONE",1,IF(J241="REVIEW",0.8,IF(J241="DOING",0.5,0)))</x:f>
        <x:v>0</x:v>
      </x:c>
      <x:c r="L241" s="40"/>
      <x:c r="M241" s="40"/>
      <x:c r="N241" s="37" t="str"/>
    </x:row>
    <x:row r="242" ht="44" customHeight="1">
      <x:c r="A242" s="18" t="str">
        <x:v>P7-27</x:v>
      </x:c>
      <x:c r="B242" s="18" t="str">
        <x:v>Phase 7 - dbt &amp; DWH</x:v>
      </x:c>
      <x:c r="C242" s="18" t="str">
        <x:v>Daily mart</x:v>
      </x:c>
      <x:c r="D242" s="37" t="str">
        <x:v>Tạo mart_station_daily nếu có query sử dụng</x:v>
      </x:c>
      <x:c r="E242" s="38" t="str">
        <x:v>B</x:v>
      </x:c>
      <x:c r="F242" s="38" t="str">
        <x:v>A</x:v>
      </x:c>
      <x:c r="G242" s="37" t="str">
        <x:v>P7-26</x:v>
      </x:c>
      <x:c r="H242" s="37" t="str">
        <x:v>Daily metrics đúng grain station-day</x:v>
      </x:c>
      <x:c r="I242" s="38" t="str">
        <x:v>P1</x:v>
      </x:c>
      <x:c r="J242" s="38" t="str">
        <x:v>TODO</x:v>
      </x:c>
      <x:c r="K242" s="39" t="n">
        <x:f>IF(J242="DONE",1,IF(J242="REVIEW",0.8,IF(J242="DOING",0.5,0)))</x:f>
        <x:v>0</x:v>
      </x:c>
      <x:c r="L242" s="40"/>
      <x:c r="M242" s="40"/>
      <x:c r="N242" s="37" t="str"/>
    </x:row>
    <x:row r="243" ht="44" customHeight="1">
      <x:c r="A243" s="18" t="str">
        <x:v>P7-28</x:v>
      </x:c>
      <x:c r="B243" s="18" t="str">
        <x:v>Phase 7 - dbt &amp; DWH</x:v>
      </x:c>
      <x:c r="C243" s="18" t="str">
        <x:v>Monthly mart</x:v>
      </x:c>
      <x:c r="D243" s="37" t="str">
        <x:v>Tạo mart_station_monthly nếu có query sử dụng</x:v>
      </x:c>
      <x:c r="E243" s="38" t="str">
        <x:v>B</x:v>
      </x:c>
      <x:c r="F243" s="38" t="str">
        <x:v>A</x:v>
      </x:c>
      <x:c r="G243" s="37" t="str">
        <x:v>P7-26</x:v>
      </x:c>
      <x:c r="H243" s="37" t="str">
        <x:v>Monthly metrics đúng grain station-month</x:v>
      </x:c>
      <x:c r="I243" s="38" t="str">
        <x:v>P1</x:v>
      </x:c>
      <x:c r="J243" s="38" t="str">
        <x:v>TODO</x:v>
      </x:c>
      <x:c r="K243" s="39" t="n">
        <x:f>IF(J243="DONE",1,IF(J243="REVIEW",0.8,IF(J243="DOING",0.5,0)))</x:f>
        <x:v>0</x:v>
      </x:c>
      <x:c r="L243" s="40"/>
      <x:c r="M243" s="40"/>
      <x:c r="N243" s="37" t="str"/>
    </x:row>
    <x:row r="244" ht="44" customHeight="1">
      <x:c r="A244" s="18" t="str">
        <x:v>P7-29</x:v>
      </x:c>
      <x:c r="B244" s="18" t="str">
        <x:v>Phase 7 - dbt &amp; DWH</x:v>
      </x:c>
      <x:c r="C244" s="18" t="str">
        <x:v>Weather mart</x:v>
      </x:c>
      <x:c r="D244" s="37" t="str">
        <x:v>Tạo mart_pollution_weather nếu Open-Meteo được giữ và có use case</x:v>
      </x:c>
      <x:c r="E244" s="38" t="str">
        <x:v>B</x:v>
      </x:c>
      <x:c r="F244" s="38" t="str">
        <x:v>A</x:v>
      </x:c>
      <x:c r="G244" s="37" t="str">
        <x:v>P5-23, P7-26</x:v>
      </x:c>
      <x:c r="H244" s="37" t="str">
        <x:v>Mart không tồn tại chỉ để đủ số lượng</x:v>
      </x:c>
      <x:c r="I244" s="38" t="str">
        <x:v>P2</x:v>
      </x:c>
      <x:c r="J244" s="38" t="str">
        <x:v>TODO</x:v>
      </x:c>
      <x:c r="K244" s="39" t="n">
        <x:f>IF(J244="DONE",1,IF(J244="REVIEW",0.8,IF(J244="DOING",0.5,0)))</x:f>
        <x:v>0</x:v>
      </x:c>
      <x:c r="L244" s="40"/>
      <x:c r="M244" s="40"/>
      <x:c r="N244" s="37" t="str"/>
    </x:row>
    <x:row r="245" ht="44" customHeight="1">
      <x:c r="A245" s="18" t="str">
        <x:v>P7-30</x:v>
      </x:c>
      <x:c r="B245" s="18" t="str">
        <x:v>Phase 7 - dbt &amp; DWH</x:v>
      </x:c>
      <x:c r="C245" s="18" t="str">
        <x:v>Documentation</x:v>
      </x:c>
      <x:c r="D245" s="37" t="str">
        <x:v>Viết descriptions cho dbt sources, models và cột chính</x:v>
      </x:c>
      <x:c r="E245" s="38" t="str">
        <x:v>B</x:v>
      </x:c>
      <x:c r="F245" s="38" t="str">
        <x:v>A</x:v>
      </x:c>
      <x:c r="G245" s="37" t="str">
        <x:v>P7-04 đến P7-29</x:v>
      </x:c>
      <x:c r="H245" s="37" t="str">
        <x:v>dbt docs giải thích grain, key, unit và nullable</x:v>
      </x:c>
      <x:c r="I245" s="38" t="str">
        <x:v>P1</x:v>
      </x:c>
      <x:c r="J245" s="38" t="str">
        <x:v>TODO</x:v>
      </x:c>
      <x:c r="K245" s="39" t="n">
        <x:f>IF(J245="DONE",1,IF(J245="REVIEW",0.8,IF(J245="DOING",0.5,0)))</x:f>
        <x:v>0</x:v>
      </x:c>
      <x:c r="L245" s="40"/>
      <x:c r="M245" s="40"/>
      <x:c r="N245" s="37" t="str"/>
    </x:row>
    <x:row r="246" ht="44" customHeight="1">
      <x:c r="A246" s="18" t="str">
        <x:v>P7-31</x:v>
      </x:c>
      <x:c r="B246" s="18" t="str">
        <x:v>Phase 7 - dbt &amp; DWH</x:v>
      </x:c>
      <x:c r="C246" s="18" t="str">
        <x:v>dbt run</x:v>
      </x:c>
      <x:c r="D246" s="37" t="str">
        <x:v>Chạy dbt build từ database staging đã có dữ liệu</x:v>
      </x:c>
      <x:c r="E246" s="38" t="str">
        <x:v>B</x:v>
      </x:c>
      <x:c r="F246" s="38" t="str">
        <x:v>A</x:v>
      </x:c>
      <x:c r="G246" s="37" t="str">
        <x:v>P7-22 đến P7-30</x:v>
      </x:c>
      <x:c r="H246" s="37" t="str">
        <x:v>Toàn bộ model và test cần thiết pass</x:v>
      </x:c>
      <x:c r="I246" s="38" t="str">
        <x:v>P0</x:v>
      </x:c>
      <x:c r="J246" s="38" t="str">
        <x:v>TODO</x:v>
      </x:c>
      <x:c r="K246" s="39" t="n">
        <x:f>IF(J246="DONE",1,IF(J246="REVIEW",0.8,IF(J246="DOING",0.5,0)))</x:f>
        <x:v>0</x:v>
      </x:c>
      <x:c r="L246" s="40"/>
      <x:c r="M246" s="40"/>
      <x:c r="N246" s="37" t="str"/>
    </x:row>
    <x:row r="247" ht="44" customHeight="1">
      <x:c r="A247" s="18" t="str">
        <x:v>P7-32</x:v>
      </x:c>
      <x:c r="B247" s="18" t="str">
        <x:v>Phase 7 - dbt &amp; DWH</x:v>
      </x:c>
      <x:c r="C247" s="18" t="str">
        <x:v>OLAP query</x:v>
      </x:c>
      <x:c r="D247" s="37" t="str">
        <x:v>Viết query phân tích theo station và thời gian</x:v>
      </x:c>
      <x:c r="E247" s="38" t="str">
        <x:v>B</x:v>
      </x:c>
      <x:c r="F247" s="38" t="str">
        <x:v>A</x:v>
      </x:c>
      <x:c r="G247" s="37" t="str">
        <x:v>P7-31</x:v>
      </x:c>
      <x:c r="H247" s="37" t="str">
        <x:v>Kết quả aggregate kiểm tra được bằng query độc lập</x:v>
      </x:c>
      <x:c r="I247" s="38" t="str">
        <x:v>P0</x:v>
      </x:c>
      <x:c r="J247" s="38" t="str">
        <x:v>TODO</x:v>
      </x:c>
      <x:c r="K247" s="39" t="n">
        <x:f>IF(J247="DONE",1,IF(J247="REVIEW",0.8,IF(J247="DOING",0.5,0)))</x:f>
        <x:v>0</x:v>
      </x:c>
      <x:c r="L247" s="40"/>
      <x:c r="M247" s="40"/>
      <x:c r="N247" s="37" t="str"/>
    </x:row>
    <x:row r="248" ht="44" customHeight="1">
      <x:c r="A248" s="18" t="str">
        <x:v>P7-33</x:v>
      </x:c>
      <x:c r="B248" s="18" t="str">
        <x:v>Phase 7 - dbt &amp; DWH</x:v>
      </x:c>
      <x:c r="C248" s="18" t="str">
        <x:v>OLAP query</x:v>
      </x:c>
      <x:c r="D248" s="37" t="str">
        <x:v>Viết query drill-down năm → tháng → ngày hoặc giờ</x:v>
      </x:c>
      <x:c r="E248" s="38" t="str">
        <x:v>B</x:v>
      </x:c>
      <x:c r="F248" s="38" t="str">
        <x:v>A</x:v>
      </x:c>
      <x:c r="G248" s="37" t="str">
        <x:v>P7-31</x:v>
      </x:c>
      <x:c r="H248" s="37" t="str">
        <x:v>Drill-down giữ đúng filter và tổng hợp</x:v>
      </x:c>
      <x:c r="I248" s="38" t="str">
        <x:v>P1</x:v>
      </x:c>
      <x:c r="J248" s="38" t="str">
        <x:v>TODO</x:v>
      </x:c>
      <x:c r="K248" s="39" t="n">
        <x:f>IF(J248="DONE",1,IF(J248="REVIEW",0.8,IF(J248="DOING",0.5,0)))</x:f>
        <x:v>0</x:v>
      </x:c>
      <x:c r="L248" s="40"/>
      <x:c r="M248" s="40"/>
      <x:c r="N248" s="37" t="str"/>
    </x:row>
    <x:row r="249" ht="44" customHeight="1">
      <x:c r="A249" s="18" t="str">
        <x:v>P7-34</x:v>
      </x:c>
      <x:c r="B249" s="18" t="str">
        <x:v>Phase 7 - dbt &amp; DWH</x:v>
      </x:c>
      <x:c r="C249" s="18" t="str">
        <x:v>OLAP query</x:v>
      </x:c>
      <x:c r="D249" s="37" t="str">
        <x:v>Viết query so sánh pollutant giữa station</x:v>
      </x:c>
      <x:c r="E249" s="38" t="str">
        <x:v>B</x:v>
      </x:c>
      <x:c r="F249" s="38" t="str">
        <x:v>A</x:v>
      </x:c>
      <x:c r="G249" s="37" t="str">
        <x:v>P7-31</x:v>
      </x:c>
      <x:c r="H249" s="37" t="str">
        <x:v>So sánh dùng cùng period và metric definition</x:v>
      </x:c>
      <x:c r="I249" s="38" t="str">
        <x:v>P1</x:v>
      </x:c>
      <x:c r="J249" s="38" t="str">
        <x:v>TODO</x:v>
      </x:c>
      <x:c r="K249" s="39" t="n">
        <x:f>IF(J249="DONE",1,IF(J249="REVIEW",0.8,IF(J249="DOING",0.5,0)))</x:f>
        <x:v>0</x:v>
      </x:c>
      <x:c r="L249" s="40"/>
      <x:c r="M249" s="40"/>
      <x:c r="N249" s="37" t="str"/>
    </x:row>
    <x:row r="250" ht="44" customHeight="1">
      <x:c r="A250" s="18" t="str">
        <x:v>P7-35</x:v>
      </x:c>
      <x:c r="B250" s="18" t="str">
        <x:v>Phase 7 - dbt &amp; DWH</x:v>
      </x:c>
      <x:c r="C250" s="18" t="str">
        <x:v>Vertical slice</x:v>
      </x:c>
      <x:c r="D250" s="37" t="str">
        <x:v>Chạy 1 station xuyên Airflow → Raw → Processed → Staging → dbt → DWH</x:v>
      </x:c>
      <x:c r="E250" s="38" t="str">
        <x:v>A+B</x:v>
      </x:c>
      <x:c r="F250" s="38" t="str">
        <x:v>A+B</x:v>
      </x:c>
      <x:c r="G250" s="37" t="str">
        <x:v>P6-25, P7-31</x:v>
      </x:c>
      <x:c r="H250" s="37" t="str">
        <x:v>Vertical slice hoàn thành không cần thao tác dữ liệu bằng tay</x:v>
      </x:c>
      <x:c r="I250" s="38" t="str">
        <x:v>P0</x:v>
      </x:c>
      <x:c r="J250" s="38" t="str">
        <x:v>TODO</x:v>
      </x:c>
      <x:c r="K250" s="39" t="n">
        <x:f>IF(J250="DONE",1,IF(J250="REVIEW",0.8,IF(J250="DOING",0.5,0)))</x:f>
        <x:v>0</x:v>
      </x:c>
      <x:c r="L250" s="40"/>
      <x:c r="M250" s="40"/>
      <x:c r="N250" s="37" t="str"/>
    </x:row>
    <x:row r="251" ht="44" customHeight="1">
      <x:c r="A251" s="18" t="str">
        <x:v>P7-36</x:v>
      </x:c>
      <x:c r="B251" s="18" t="str">
        <x:v>Phase 7 - dbt &amp; DWH</x:v>
      </x:c>
      <x:c r="C251" s="18" t="str">
        <x:v>Lineage</x:v>
      </x:c>
      <x:c r="D251" s="37" t="str">
        <x:v>Truy vết một fact row về staging, processed và raw source</x:v>
      </x:c>
      <x:c r="E251" s="38" t="str">
        <x:v>A</x:v>
      </x:c>
      <x:c r="F251" s="38" t="str">
        <x:v>B</x:v>
      </x:c>
      <x:c r="G251" s="37" t="str">
        <x:v>P7-35</x:v>
      </x:c>
      <x:c r="H251" s="37" t="str">
        <x:v>Có bằng chứng lineage end-to-end</x:v>
      </x:c>
      <x:c r="I251" s="38" t="str">
        <x:v>P0</x:v>
      </x:c>
      <x:c r="J251" s="38" t="str">
        <x:v>TODO</x:v>
      </x:c>
      <x:c r="K251" s="39" t="n">
        <x:f>IF(J251="DONE",1,IF(J251="REVIEW",0.8,IF(J251="DOING",0.5,0)))</x:f>
        <x:v>0</x:v>
      </x:c>
      <x:c r="L251" s="40"/>
      <x:c r="M251" s="40"/>
      <x:c r="N251" s="37" t="str"/>
    </x:row>
    <x:row r="252" ht="44" customHeight="1">
      <x:c r="A252" s="18" t="str">
        <x:v>P7-37</x:v>
      </x:c>
      <x:c r="B252" s="18" t="str">
        <x:v>Phase 7 - dbt &amp; DWH</x:v>
      </x:c>
      <x:c r="C252" s="18" t="str">
        <x:v>Scale 12 station</x:v>
      </x:c>
      <x:c r="D252" s="37" t="str">
        <x:v>Chạy dbt/DWH với đủ 12 station</x:v>
      </x:c>
      <x:c r="E252" s="38" t="str">
        <x:v>B</x:v>
      </x:c>
      <x:c r="F252" s="38" t="str">
        <x:v>A</x:v>
      </x:c>
      <x:c r="G252" s="37" t="str">
        <x:v>P7-35, P6-22</x:v>
      </x:c>
      <x:c r="H252" s="37" t="str">
        <x:v>Dimensions, fact và mart bao phủ toàn bộ station</x:v>
      </x:c>
      <x:c r="I252" s="38" t="str">
        <x:v>P0</x:v>
      </x:c>
      <x:c r="J252" s="38" t="str">
        <x:v>TODO</x:v>
      </x:c>
      <x:c r="K252" s="39" t="n">
        <x:f>IF(J252="DONE",1,IF(J252="REVIEW",0.8,IF(J252="DOING",0.5,0)))</x:f>
        <x:v>0</x:v>
      </x:c>
      <x:c r="L252" s="40"/>
      <x:c r="M252" s="40"/>
      <x:c r="N252" s="37" t="str"/>
    </x:row>
    <x:row r="253" ht="44" customHeight="1">
      <x:c r="A253" s="18" t="str">
        <x:v>P7-38</x:v>
      </x:c>
      <x:c r="B253" s="18" t="str">
        <x:v>Phase 7 - dbt &amp; DWH</x:v>
      </x:c>
      <x:c r="C253" s="18" t="str">
        <x:v>Full validation</x:v>
      </x:c>
      <x:c r="D253" s="37" t="str">
        <x:v>Chạy lại reconciliation và dbt tests trên full dataset</x:v>
      </x:c>
      <x:c r="E253" s="38" t="str">
        <x:v>A+B</x:v>
      </x:c>
      <x:c r="F253" s="38" t="str">
        <x:v>A+B</x:v>
      </x:c>
      <x:c r="G253" s="37" t="str">
        <x:v>P7-37</x:v>
      </x:c>
      <x:c r="H253" s="37" t="str">
        <x:v>Tests pass và row counts được xác nhận</x:v>
      </x:c>
      <x:c r="I253" s="38" t="str">
        <x:v>P0</x:v>
      </x:c>
      <x:c r="J253" s="38" t="str">
        <x:v>TODO</x:v>
      </x:c>
      <x:c r="K253" s="39" t="n">
        <x:f>IF(J253="DONE",1,IF(J253="REVIEW",0.8,IF(J253="DOING",0.5,0)))</x:f>
        <x:v>0</x:v>
      </x:c>
      <x:c r="L253" s="40"/>
      <x:c r="M253" s="40"/>
      <x:c r="N253" s="37" t="str"/>
    </x:row>
    <x:row r="254" ht="44" customHeight="1">
      <x:c r="A254" s="18" t="str">
        <x:v>P7-39</x:v>
      </x:c>
      <x:c r="B254" s="18" t="str">
        <x:v>Phase 7 - dbt &amp; DWH</x:v>
      </x:c>
      <x:c r="C254" s="18" t="str">
        <x:v>Tái tạo</x:v>
      </x:c>
      <x:c r="D254" s="37" t="str">
        <x:v>Thành viên A tự chạy dbt build và query kiểm tra</x:v>
      </x:c>
      <x:c r="E254" s="38" t="str">
        <x:v>A</x:v>
      </x:c>
      <x:c r="F254" s="38" t="str">
        <x:v>B</x:v>
      </x:c>
      <x:c r="G254" s="37" t="str">
        <x:v>P7-38</x:v>
      </x:c>
      <x:c r="H254" s="37" t="str">
        <x:v>Không chỉ thành viên B hiểu dbt/DWH</x:v>
      </x:c>
      <x:c r="I254" s="38" t="str">
        <x:v>P1</x:v>
      </x:c>
      <x:c r="J254" s="38" t="str">
        <x:v>TODO</x:v>
      </x:c>
      <x:c r="K254" s="39" t="n">
        <x:f>IF(J254="DONE",1,IF(J254="REVIEW",0.8,IF(J254="DOING",0.5,0)))</x:f>
        <x:v>0</x:v>
      </x:c>
      <x:c r="L254" s="40"/>
      <x:c r="M254" s="40"/>
      <x:c r="N254" s="37" t="str"/>
    </x:row>
    <x:row r="255" ht="44" customHeight="1">
      <x:c r="A255" s="18" t="str">
        <x:v>P7-40</x:v>
      </x:c>
      <x:c r="B255" s="18" t="str">
        <x:v>Phase 7 - dbt &amp; DWH</x:v>
      </x:c>
      <x:c r="C255" s="18" t="str">
        <x:v>Checkpoint</x:v>
      </x:c>
      <x:c r="D255" s="37" t="str">
        <x:v>Cập nhật ARCHITECTURE, README và PROGRESS.md Phase 7</x:v>
      </x:c>
      <x:c r="E255" s="38" t="str">
        <x:v>A+B</x:v>
      </x:c>
      <x:c r="F255" s="38" t="str">
        <x:v>A+B</x:v>
      </x:c>
      <x:c r="G255" s="37" t="str">
        <x:v>P7-39</x:v>
      </x:c>
      <x:c r="H255" s="37" t="str">
        <x:v>Star schema, decisions, tests, lineage và evidence được ghi lại</x:v>
      </x:c>
      <x:c r="I255" s="38" t="str">
        <x:v>P0</x:v>
      </x:c>
      <x:c r="J255" s="38" t="str">
        <x:v>TODO</x:v>
      </x:c>
      <x:c r="K255" s="39" t="n">
        <x:f>IF(J255="DONE",1,IF(J255="REVIEW",0.8,IF(J255="DOING",0.5,0)))</x:f>
        <x:v>0</x:v>
      </x:c>
      <x:c r="L255" s="40"/>
      <x:c r="M255" s="40"/>
      <x:c r="N255" s="37" t="str"/>
    </x:row>
    <x:row r="256" ht="44" customHeight="1">
      <x:c r="A256" s="18" t="str">
        <x:v>P8-01</x:v>
      </x:c>
      <x:c r="B256" s="18" t="str">
        <x:v>Phase 8 - EDA</x:v>
      </x:c>
      <x:c r="C256" s="18" t="str">
        <x:v>Điều kiện đầu vào</x:v>
      </x:c>
      <x:c r="D256" s="37" t="str">
        <x:v>Xác nhận DWH full dataset và dbt tests đã ổn định</x:v>
      </x:c>
      <x:c r="E256" s="38" t="str">
        <x:v>A+B</x:v>
      </x:c>
      <x:c r="F256" s="38" t="str">
        <x:v>A+B</x:v>
      </x:c>
      <x:c r="G256" s="37" t="str">
        <x:v>P7-40</x:v>
      </x:c>
      <x:c r="H256" s="37" t="str">
        <x:v>EDA đọc từ DWH/mart đã kiểm tra, không lấy CSV raw làm nguồn chính</x:v>
      </x:c>
      <x:c r="I256" s="38" t="str">
        <x:v>P0</x:v>
      </x:c>
      <x:c r="J256" s="38" t="str">
        <x:v>TODO</x:v>
      </x:c>
      <x:c r="K256" s="39" t="n">
        <x:f>IF(J256="DONE",1,IF(J256="REVIEW",0.8,IF(J256="DOING",0.5,0)))</x:f>
        <x:v>0</x:v>
      </x:c>
      <x:c r="L256" s="40"/>
      <x:c r="M256" s="40"/>
      <x:c r="N256" s="37" t="str"/>
    </x:row>
    <x:row r="257" ht="44" customHeight="1">
      <x:c r="A257" s="18" t="str">
        <x:v>P8-02</x:v>
      </x:c>
      <x:c r="B257" s="18" t="str">
        <x:v>Phase 8 - EDA</x:v>
      </x:c>
      <x:c r="C257" s="18" t="str">
        <x:v>Analysis dataset</x:v>
      </x:c>
      <x:c r="D257" s="37" t="str">
        <x:v>Chốt bảng DWH/mart dùng cho EDA</x:v>
      </x:c>
      <x:c r="E257" s="38" t="str">
        <x:v>B</x:v>
      </x:c>
      <x:c r="F257" s="38" t="str">
        <x:v>A</x:v>
      </x:c>
      <x:c r="G257" s="37" t="str">
        <x:v>P8-01</x:v>
      </x:c>
      <x:c r="H257" s="37" t="str">
        <x:v>Grain, columns, units và filters được ghi rõ</x:v>
      </x:c>
      <x:c r="I257" s="38" t="str">
        <x:v>P0</x:v>
      </x:c>
      <x:c r="J257" s="38" t="str">
        <x:v>TODO</x:v>
      </x:c>
      <x:c r="K257" s="39" t="n">
        <x:f>IF(J257="DONE",1,IF(J257="REVIEW",0.8,IF(J257="DOING",0.5,0)))</x:f>
        <x:v>0</x:v>
      </x:c>
      <x:c r="L257" s="40"/>
      <x:c r="M257" s="40"/>
      <x:c r="N257" s="37" t="str"/>
    </x:row>
    <x:row r="258" ht="44" customHeight="1">
      <x:c r="A258" s="18" t="str">
        <x:v>P8-03</x:v>
      </x:c>
      <x:c r="B258" s="18" t="str">
        <x:v>Phase 8 - EDA</x:v>
      </x:c>
      <x:c r="C258" s="18" t="str">
        <x:v>Reusable query</x:v>
      </x:c>
      <x:c r="D258" s="37" t="str">
        <x:v>Viết query lấy analytical dataset theo station và thời gian</x:v>
      </x:c>
      <x:c r="E258" s="38" t="str">
        <x:v>B</x:v>
      </x:c>
      <x:c r="F258" s="38" t="str">
        <x:v>A</x:v>
      </x:c>
      <x:c r="G258" s="37" t="str">
        <x:v>P8-02</x:v>
      </x:c>
      <x:c r="H258" s="37" t="str">
        <x:v>Query có thể tái sử dụng, không SELECT dữ liệu thừa</x:v>
      </x:c>
      <x:c r="I258" s="38" t="str">
        <x:v>P0</x:v>
      </x:c>
      <x:c r="J258" s="38" t="str">
        <x:v>TODO</x:v>
      </x:c>
      <x:c r="K258" s="39" t="n">
        <x:f>IF(J258="DONE",1,IF(J258="REVIEW",0.8,IF(J258="DOING",0.5,0)))</x:f>
        <x:v>0</x:v>
      </x:c>
      <x:c r="L258" s="40"/>
      <x:c r="M258" s="40"/>
      <x:c r="N258" s="37" t="str"/>
    </x:row>
    <x:row r="259" ht="44" customHeight="1">
      <x:c r="A259" s="18" t="str">
        <x:v>P8-04</x:v>
      </x:c>
      <x:c r="B259" s="18" t="str">
        <x:v>Phase 8 - EDA</x:v>
      </x:c>
      <x:c r="C259" s="18" t="str">
        <x:v>Notebook setup</x:v>
      </x:c>
      <x:c r="D259" s="37" t="str">
        <x:v>Tạo notebook/script EDA đọc dữ liệu từ PostgreSQL</x:v>
      </x:c>
      <x:c r="E259" s="38" t="str">
        <x:v>B</x:v>
      </x:c>
      <x:c r="F259" s="38" t="str">
        <x:v>A</x:v>
      </x:c>
      <x:c r="G259" s="37" t="str">
        <x:v>P8-03</x:v>
      </x:c>
      <x:c r="H259" s="37" t="str">
        <x:v>Kết nối qua config; chạy lại được từ repo</x:v>
      </x:c>
      <x:c r="I259" s="38" t="str">
        <x:v>P0</x:v>
      </x:c>
      <x:c r="J259" s="38" t="str">
        <x:v>TODO</x:v>
      </x:c>
      <x:c r="K259" s="39" t="n">
        <x:f>IF(J259="DONE",1,IF(J259="REVIEW",0.8,IF(J259="DOING",0.5,0)))</x:f>
        <x:v>0</x:v>
      </x:c>
      <x:c r="L259" s="40"/>
      <x:c r="M259" s="40"/>
      <x:c r="N259" s="37" t="str"/>
    </x:row>
    <x:row r="260" ht="44" customHeight="1">
      <x:c r="A260" s="18" t="str">
        <x:v>P8-05</x:v>
      </x:c>
      <x:c r="B260" s="18" t="str">
        <x:v>Phase 8 - EDA</x:v>
      </x:c>
      <x:c r="C260" s="18" t="str">
        <x:v>Data check</x:v>
      </x:c>
      <x:c r="D260" s="37" t="str">
        <x:v>Kiểm tra row count, grain và date range của analytical dataset</x:v>
      </x:c>
      <x:c r="E260" s="38" t="str">
        <x:v>A</x:v>
      </x:c>
      <x:c r="F260" s="38" t="str">
        <x:v>B</x:v>
      </x:c>
      <x:c r="G260" s="37" t="str">
        <x:v>P8-04</x:v>
      </x:c>
      <x:c r="H260" s="37" t="str">
        <x:v>Kết quả khớp DWH và không duplicate station-hour</x:v>
      </x:c>
      <x:c r="I260" s="38" t="str">
        <x:v>P0</x:v>
      </x:c>
      <x:c r="J260" s="38" t="str">
        <x:v>TODO</x:v>
      </x:c>
      <x:c r="K260" s="39" t="n">
        <x:f>IF(J260="DONE",1,IF(J260="REVIEW",0.8,IF(J260="DOING",0.5,0)))</x:f>
        <x:v>0</x:v>
      </x:c>
      <x:c r="L260" s="40"/>
      <x:c r="M260" s="40"/>
      <x:c r="N260" s="37" t="str"/>
    </x:row>
    <x:row r="261" ht="44" customHeight="1">
      <x:c r="A261" s="18" t="str">
        <x:v>P8-06</x:v>
      </x:c>
      <x:c r="B261" s="18" t="str">
        <x:v>Phase 8 - EDA</x:v>
      </x:c>
      <x:c r="C261" s="18" t="str">
        <x:v>Data check</x:v>
      </x:c>
      <x:c r="D261" s="37" t="str">
        <x:v>Tổng hợp missing và quality flags trước phân tích</x:v>
      </x:c>
      <x:c r="E261" s="38" t="str">
        <x:v>A</x:v>
      </x:c>
      <x:c r="F261" s="38" t="str">
        <x:v>B</x:v>
      </x:c>
      <x:c r="G261" s="37" t="str">
        <x:v>P8-04</x:v>
      </x:c>
      <x:c r="H261" s="37" t="str">
        <x:v>Biết mẫu nào được dùng hoặc loại khỏi từng phép tính</x:v>
      </x:c>
      <x:c r="I261" s="38" t="str">
        <x:v>P0</x:v>
      </x:c>
      <x:c r="J261" s="38" t="str">
        <x:v>TODO</x:v>
      </x:c>
      <x:c r="K261" s="39" t="n">
        <x:f>IF(J261="DONE",1,IF(J261="REVIEW",0.8,IF(J261="DOING",0.5,0)))</x:f>
        <x:v>0</x:v>
      </x:c>
      <x:c r="L261" s="40"/>
      <x:c r="M261" s="40"/>
      <x:c r="N261" s="37" t="str"/>
    </x:row>
    <x:row r="262" ht="44" customHeight="1">
      <x:c r="A262" s="18" t="str">
        <x:v>P8-07</x:v>
      </x:c>
      <x:c r="B262" s="18" t="str">
        <x:v>Phase 8 - EDA</x:v>
      </x:c>
      <x:c r="C262" s="18" t="str">
        <x:v>Temporal analysis</x:v>
      </x:c>
      <x:c r="D262" s="37" t="str">
        <x:v>Phân tích pollutant theo giờ trong ngày</x:v>
      </x:c>
      <x:c r="E262" s="38" t="str">
        <x:v>B</x:v>
      </x:c>
      <x:c r="F262" s="38" t="str">
        <x:v>A</x:v>
      </x:c>
      <x:c r="G262" s="37" t="str">
        <x:v>P8-05, P8-06</x:v>
      </x:c>
      <x:c r="H262" s="37" t="str">
        <x:v>Có profile hourly cho 6 pollutant và nhận xét có bằng chứng</x:v>
      </x:c>
      <x:c r="I262" s="38" t="str">
        <x:v>P0</x:v>
      </x:c>
      <x:c r="J262" s="38" t="str">
        <x:v>TODO</x:v>
      </x:c>
      <x:c r="K262" s="39" t="n">
        <x:f>IF(J262="DONE",1,IF(J262="REVIEW",0.8,IF(J262="DOING",0.5,0)))</x:f>
        <x:v>0</x:v>
      </x:c>
      <x:c r="L262" s="40"/>
      <x:c r="M262" s="40"/>
      <x:c r="N262" s="37" t="str"/>
    </x:row>
    <x:row r="263" ht="44" customHeight="1">
      <x:c r="A263" s="18" t="str">
        <x:v>P8-08</x:v>
      </x:c>
      <x:c r="B263" s="18" t="str">
        <x:v>Phase 8 - EDA</x:v>
      </x:c>
      <x:c r="C263" s="18" t="str">
        <x:v>Temporal analysis</x:v>
      </x:c>
      <x:c r="D263" s="37" t="str">
        <x:v>Phân tích pollutant theo ngày/weekday</x:v>
      </x:c>
      <x:c r="E263" s="38" t="str">
        <x:v>B</x:v>
      </x:c>
      <x:c r="F263" s="38" t="str">
        <x:v>A</x:v>
      </x:c>
      <x:c r="G263" s="37" t="str">
        <x:v>P8-05, P8-06</x:v>
      </x:c>
      <x:c r="H263" s="37" t="str">
        <x:v>Khác biệt weekday/weekend được kiểm tra</x:v>
      </x:c>
      <x:c r="I263" s="38" t="str">
        <x:v>P1</x:v>
      </x:c>
      <x:c r="J263" s="38" t="str">
        <x:v>TODO</x:v>
      </x:c>
      <x:c r="K263" s="39" t="n">
        <x:f>IF(J263="DONE",1,IF(J263="REVIEW",0.8,IF(J263="DOING",0.5,0)))</x:f>
        <x:v>0</x:v>
      </x:c>
      <x:c r="L263" s="40"/>
      <x:c r="M263" s="40"/>
      <x:c r="N263" s="37" t="str"/>
    </x:row>
    <x:row r="264" ht="44" customHeight="1">
      <x:c r="A264" s="18" t="str">
        <x:v>P8-09</x:v>
      </x:c>
      <x:c r="B264" s="18" t="str">
        <x:v>Phase 8 - EDA</x:v>
      </x:c>
      <x:c r="C264" s="18" t="str">
        <x:v>Temporal analysis</x:v>
      </x:c>
      <x:c r="D264" s="37" t="str">
        <x:v>Phân tích pollutant theo tháng</x:v>
      </x:c>
      <x:c r="E264" s="38" t="str">
        <x:v>B</x:v>
      </x:c>
      <x:c r="F264" s="38" t="str">
        <x:v>A</x:v>
      </x:c>
      <x:c r="G264" s="37" t="str">
        <x:v>P8-05, P8-06</x:v>
      </x:c>
      <x:c r="H264" s="37" t="str">
        <x:v>Có monthly pattern và số quan sát hỗ trợ</x:v>
      </x:c>
      <x:c r="I264" s="38" t="str">
        <x:v>P0</x:v>
      </x:c>
      <x:c r="J264" s="38" t="str">
        <x:v>TODO</x:v>
      </x:c>
      <x:c r="K264" s="39" t="n">
        <x:f>IF(J264="DONE",1,IF(J264="REVIEW",0.8,IF(J264="DOING",0.5,0)))</x:f>
        <x:v>0</x:v>
      </x:c>
      <x:c r="L264" s="40"/>
      <x:c r="M264" s="40"/>
      <x:c r="N264" s="37" t="str"/>
    </x:row>
    <x:row r="265" ht="44" customHeight="1">
      <x:c r="A265" s="18" t="str">
        <x:v>P8-10</x:v>
      </x:c>
      <x:c r="B265" s="18" t="str">
        <x:v>Phase 8 - EDA</x:v>
      </x:c>
      <x:c r="C265" s="18" t="str">
        <x:v>Temporal analysis</x:v>
      </x:c>
      <x:c r="D265" s="37" t="str">
        <x:v>Phân tích pollutant theo mùa</x:v>
      </x:c>
      <x:c r="E265" s="38" t="str">
        <x:v>B</x:v>
      </x:c>
      <x:c r="F265" s="38" t="str">
        <x:v>A</x:v>
      </x:c>
      <x:c r="G265" s="37" t="str">
        <x:v>P8-05, P8-06</x:v>
      </x:c>
      <x:c r="H265" s="37" t="str">
        <x:v>Season definition rõ và seasonal pattern được mô tả</x:v>
      </x:c>
      <x:c r="I265" s="38" t="str">
        <x:v>P0</x:v>
      </x:c>
      <x:c r="J265" s="38" t="str">
        <x:v>TODO</x:v>
      </x:c>
      <x:c r="K265" s="39" t="n">
        <x:f>IF(J265="DONE",1,IF(J265="REVIEW",0.8,IF(J265="DOING",0.5,0)))</x:f>
        <x:v>0</x:v>
      </x:c>
      <x:c r="L265" s="40"/>
      <x:c r="M265" s="40"/>
      <x:c r="N265" s="37" t="str"/>
    </x:row>
    <x:row r="266" ht="44" customHeight="1">
      <x:c r="A266" s="18" t="str">
        <x:v>P8-11</x:v>
      </x:c>
      <x:c r="B266" s="18" t="str">
        <x:v>Phase 8 - EDA</x:v>
      </x:c>
      <x:c r="C266" s="18" t="str">
        <x:v>Long-term trend</x:v>
      </x:c>
      <x:c r="D266" s="37" t="str">
        <x:v>Phân tích xu hướng theo năm 2013–2017</x:v>
      </x:c>
      <x:c r="E266" s="38" t="str">
        <x:v>B</x:v>
      </x:c>
      <x:c r="F266" s="38" t="str">
        <x:v>A</x:v>
      </x:c>
      <x:c r="G266" s="37" t="str">
        <x:v>P8-05, P8-06</x:v>
      </x:c>
      <x:c r="H266" s="37" t="str">
        <x:v>So sánh cùng period hợp lệ; lưu ý năm không đủ nếu có</x:v>
      </x:c>
      <x:c r="I266" s="38" t="str">
        <x:v>P1</x:v>
      </x:c>
      <x:c r="J266" s="38" t="str">
        <x:v>TODO</x:v>
      </x:c>
      <x:c r="K266" s="39" t="n">
        <x:f>IF(J266="DONE",1,IF(J266="REVIEW",0.8,IF(J266="DOING",0.5,0)))</x:f>
        <x:v>0</x:v>
      </x:c>
      <x:c r="L266" s="40"/>
      <x:c r="M266" s="40"/>
      <x:c r="N266" s="37" t="str"/>
    </x:row>
    <x:row r="267" ht="44" customHeight="1">
      <x:c r="A267" s="18" t="str">
        <x:v>P8-12</x:v>
      </x:c>
      <x:c r="B267" s="18" t="str">
        <x:v>Phase 8 - EDA</x:v>
      </x:c>
      <x:c r="C267" s="18" t="str">
        <x:v>Station analysis</x:v>
      </x:c>
      <x:c r="D267" s="37" t="str">
        <x:v>Tính mean và median theo station</x:v>
      </x:c>
      <x:c r="E267" s="38" t="str">
        <x:v>B</x:v>
      </x:c>
      <x:c r="F267" s="38" t="str">
        <x:v>A</x:v>
      </x:c>
      <x:c r="G267" s="37" t="str">
        <x:v>P8-05, P8-06</x:v>
      </x:c>
      <x:c r="H267" s="37" t="str">
        <x:v>Bảng so sánh đủ 12 station và 6 pollutant</x:v>
      </x:c>
      <x:c r="I267" s="38" t="str">
        <x:v>P0</x:v>
      </x:c>
      <x:c r="J267" s="38" t="str">
        <x:v>TODO</x:v>
      </x:c>
      <x:c r="K267" s="39" t="n">
        <x:f>IF(J267="DONE",1,IF(J267="REVIEW",0.8,IF(J267="DOING",0.5,0)))</x:f>
        <x:v>0</x:v>
      </x:c>
      <x:c r="L267" s="40"/>
      <x:c r="M267" s="40"/>
      <x:c r="N267" s="37" t="str"/>
    </x:row>
    <x:row r="268" ht="44" customHeight="1">
      <x:c r="A268" s="18" t="str">
        <x:v>P8-13</x:v>
      </x:c>
      <x:c r="B268" s="18" t="str">
        <x:v>Phase 8 - EDA</x:v>
      </x:c>
      <x:c r="C268" s="18" t="str">
        <x:v>Station analysis</x:v>
      </x:c>
      <x:c r="D268" s="37" t="str">
        <x:v>Tính variance, standard deviation và percentile theo station</x:v>
      </x:c>
      <x:c r="E268" s="38" t="str">
        <x:v>B</x:v>
      </x:c>
      <x:c r="F268" s="38" t="str">
        <x:v>A</x:v>
      </x:c>
      <x:c r="G268" s="37" t="str">
        <x:v>P8-12</x:v>
      </x:c>
      <x:c r="H268" s="37" t="str">
        <x:v>Đo được mức biến động, không chỉ giá trị trung bình</x:v>
      </x:c>
      <x:c r="I268" s="38" t="str">
        <x:v>P1</x:v>
      </x:c>
      <x:c r="J268" s="38" t="str">
        <x:v>TODO</x:v>
      </x:c>
      <x:c r="K268" s="39" t="n">
        <x:f>IF(J268="DONE",1,IF(J268="REVIEW",0.8,IF(J268="DOING",0.5,0)))</x:f>
        <x:v>0</x:v>
      </x:c>
      <x:c r="L268" s="40"/>
      <x:c r="M268" s="40"/>
      <x:c r="N268" s="37" t="str"/>
    </x:row>
    <x:row r="269" ht="44" customHeight="1">
      <x:c r="A269" s="18" t="str">
        <x:v>P8-14</x:v>
      </x:c>
      <x:c r="B269" s="18" t="str">
        <x:v>Phase 8 - EDA</x:v>
      </x:c>
      <x:c r="C269" s="18" t="str">
        <x:v>Station analysis</x:v>
      </x:c>
      <x:c r="D269" s="37" t="str">
        <x:v>Xác định peaks và high-pollution ratio theo station</x:v>
      </x:c>
      <x:c r="E269" s="38" t="str">
        <x:v>B</x:v>
      </x:c>
      <x:c r="F269" s="38" t="str">
        <x:v>A</x:v>
      </x:c>
      <x:c r="G269" s="37" t="str">
        <x:v>P8-12</x:v>
      </x:c>
      <x:c r="H269" s="37" t="str">
        <x:v>Threshold/percentile dùng để định nghĩa peak được ghi rõ</x:v>
      </x:c>
      <x:c r="I269" s="38" t="str">
        <x:v>P0</x:v>
      </x:c>
      <x:c r="J269" s="38" t="str">
        <x:v>TODO</x:v>
      </x:c>
      <x:c r="K269" s="39" t="n">
        <x:f>IF(J269="DONE",1,IF(J269="REVIEW",0.8,IF(J269="DOING",0.5,0)))</x:f>
        <x:v>0</x:v>
      </x:c>
      <x:c r="L269" s="40"/>
      <x:c r="M269" s="40"/>
      <x:c r="N269" s="37" t="str"/>
    </x:row>
    <x:row r="270" ht="44" customHeight="1">
      <x:c r="A270" s="18" t="str">
        <x:v>P8-15</x:v>
      </x:c>
      <x:c r="B270" s="18" t="str">
        <x:v>Phase 8 - EDA</x:v>
      </x:c>
      <x:c r="C270" s="18" t="str">
        <x:v>Station analysis</x:v>
      </x:c>
      <x:c r="D270" s="37" t="str">
        <x:v>Xếp hạng station theo PM2.5 và kiểm tra độ ổn định theo mùa</x:v>
      </x:c>
      <x:c r="E270" s="38" t="str">
        <x:v>B</x:v>
      </x:c>
      <x:c r="F270" s="38" t="str">
        <x:v>A</x:v>
      </x:c>
      <x:c r="G270" s="37" t="str">
        <x:v>P8-12 đến P8-14</x:v>
      </x:c>
      <x:c r="H270" s="37" t="str">
        <x:v>Ranking không dựa trên một aggregate thiếu bối cảnh</x:v>
      </x:c>
      <x:c r="I270" s="38" t="str">
        <x:v>P1</x:v>
      </x:c>
      <x:c r="J270" s="38" t="str">
        <x:v>TODO</x:v>
      </x:c>
      <x:c r="K270" s="39" t="n">
        <x:f>IF(J270="DONE",1,IF(J270="REVIEW",0.8,IF(J270="DOING",0.5,0)))</x:f>
        <x:v>0</x:v>
      </x:c>
      <x:c r="L270" s="40"/>
      <x:c r="M270" s="40"/>
      <x:c r="N270" s="37" t="str"/>
    </x:row>
    <x:row r="271" ht="44" customHeight="1">
      <x:c r="A271" s="18" t="str">
        <x:v>P8-16</x:v>
      </x:c>
      <x:c r="B271" s="18" t="str">
        <x:v>Phase 8 - EDA</x:v>
      </x:c>
      <x:c r="C271" s="18" t="str">
        <x:v>Pollutant relationship</x:v>
      </x:c>
      <x:c r="D271" s="37" t="str">
        <x:v>Tính correlation giữa 6 pollutant</x:v>
      </x:c>
      <x:c r="E271" s="38" t="str">
        <x:v>B</x:v>
      </x:c>
      <x:c r="F271" s="38" t="str">
        <x:v>A</x:v>
      </x:c>
      <x:c r="G271" s="37" t="str">
        <x:v>P8-05, P8-06</x:v>
      </x:c>
      <x:c r="H271" s="37" t="str">
        <x:v>Có sample policy và cảnh báo correlation không phải causal</x:v>
      </x:c>
      <x:c r="I271" s="38" t="str">
        <x:v>P1</x:v>
      </x:c>
      <x:c r="J271" s="38" t="str">
        <x:v>TODO</x:v>
      </x:c>
      <x:c r="K271" s="39" t="n">
        <x:f>IF(J271="DONE",1,IF(J271="REVIEW",0.8,IF(J271="DOING",0.5,0)))</x:f>
        <x:v>0</x:v>
      </x:c>
      <x:c r="L271" s="40"/>
      <x:c r="M271" s="40"/>
      <x:c r="N271" s="37" t="str"/>
    </x:row>
    <x:row r="272" ht="44" customHeight="1">
      <x:c r="A272" s="18" t="str">
        <x:v>P8-17</x:v>
      </x:c>
      <x:c r="B272" s="18" t="str">
        <x:v>Phase 8 - EDA</x:v>
      </x:c>
      <x:c r="C272" s="18" t="str">
        <x:v>Pollutant relationship</x:v>
      </x:c>
      <x:c r="D272" s="37" t="str">
        <x:v>Kiểm tra PM2.5 với PM10, NO2 và CO theo station/mùa</x:v>
      </x:c>
      <x:c r="E272" s="38" t="str">
        <x:v>B</x:v>
      </x:c>
      <x:c r="F272" s="38" t="str">
        <x:v>A</x:v>
      </x:c>
      <x:c r="G272" s="37" t="str">
        <x:v>P8-16</x:v>
      </x:c>
      <x:c r="H272" s="37" t="str">
        <x:v>Biết relationship có ổn định giữa nhóm dữ liệu không</x:v>
      </x:c>
      <x:c r="I272" s="38" t="str">
        <x:v>P1</x:v>
      </x:c>
      <x:c r="J272" s="38" t="str">
        <x:v>TODO</x:v>
      </x:c>
      <x:c r="K272" s="39" t="n">
        <x:f>IF(J272="DONE",1,IF(J272="REVIEW",0.8,IF(J272="DOING",0.5,0)))</x:f>
        <x:v>0</x:v>
      </x:c>
      <x:c r="L272" s="40"/>
      <x:c r="M272" s="40"/>
      <x:c r="N272" s="37" t="str"/>
    </x:row>
    <x:row r="273" ht="44" customHeight="1">
      <x:c r="A273" s="18" t="str">
        <x:v>P8-18</x:v>
      </x:c>
      <x:c r="B273" s="18" t="str">
        <x:v>Phase 8 - EDA</x:v>
      </x:c>
      <x:c r="C273" s="18" t="str">
        <x:v>Weather relationship</x:v>
      </x:c>
      <x:c r="D273" s="37" t="str">
        <x:v>Phân tích PM2.5 theo temperature</x:v>
      </x:c>
      <x:c r="E273" s="38" t="str">
        <x:v>B</x:v>
      </x:c>
      <x:c r="F273" s="38" t="str">
        <x:v>A</x:v>
      </x:c>
      <x:c r="G273" s="37" t="str">
        <x:v>P8-05, P8-06</x:v>
      </x:c>
      <x:c r="H273" s="37" t="str">
        <x:v>Có scatter/bin analysis và sample size</x:v>
      </x:c>
      <x:c r="I273" s="38" t="str">
        <x:v>P0</x:v>
      </x:c>
      <x:c r="J273" s="38" t="str">
        <x:v>TODO</x:v>
      </x:c>
      <x:c r="K273" s="39" t="n">
        <x:f>IF(J273="DONE",1,IF(J273="REVIEW",0.8,IF(J273="DOING",0.5,0)))</x:f>
        <x:v>0</x:v>
      </x:c>
      <x:c r="L273" s="40"/>
      <x:c r="M273" s="40"/>
      <x:c r="N273" s="37" t="str"/>
    </x:row>
    <x:row r="274" ht="44" customHeight="1">
      <x:c r="A274" s="18" t="str">
        <x:v>P8-19</x:v>
      </x:c>
      <x:c r="B274" s="18" t="str">
        <x:v>Phase 8 - EDA</x:v>
      </x:c>
      <x:c r="C274" s="18" t="str">
        <x:v>Weather relationship</x:v>
      </x:c>
      <x:c r="D274" s="37" t="str">
        <x:v>Phân tích PM2.5 theo pressure và dew point/humidity</x:v>
      </x:c>
      <x:c r="E274" s="38" t="str">
        <x:v>B</x:v>
      </x:c>
      <x:c r="F274" s="38" t="str">
        <x:v>A</x:v>
      </x:c>
      <x:c r="G274" s="37" t="str">
        <x:v>P8-05, P8-06</x:v>
      </x:c>
      <x:c r="H274" s="37" t="str">
        <x:v>So sánh biến weather theo scope đã chốt</x:v>
      </x:c>
      <x:c r="I274" s="38" t="str">
        <x:v>P1</x:v>
      </x:c>
      <x:c r="J274" s="38" t="str">
        <x:v>TODO</x:v>
      </x:c>
      <x:c r="K274" s="39" t="n">
        <x:f>IF(J274="DONE",1,IF(J274="REVIEW",0.8,IF(J274="DOING",0.5,0)))</x:f>
        <x:v>0</x:v>
      </x:c>
      <x:c r="L274" s="40"/>
      <x:c r="M274" s="40"/>
      <x:c r="N274" s="37" t="str"/>
    </x:row>
    <x:row r="275" ht="44" customHeight="1">
      <x:c r="A275" s="18" t="str">
        <x:v>P8-20</x:v>
      </x:c>
      <x:c r="B275" s="18" t="str">
        <x:v>Phase 8 - EDA</x:v>
      </x:c>
      <x:c r="C275" s="18" t="str">
        <x:v>Weather relationship</x:v>
      </x:c>
      <x:c r="D275" s="37" t="str">
        <x:v>Phân tích PM2.5 theo rain và wind speed</x:v>
      </x:c>
      <x:c r="E275" s="38" t="str">
        <x:v>B</x:v>
      </x:c>
      <x:c r="F275" s="38" t="str">
        <x:v>A</x:v>
      </x:c>
      <x:c r="G275" s="37" t="str">
        <x:v>P8-05, P8-06</x:v>
      </x:c>
      <x:c r="H275" s="37" t="str">
        <x:v>Có before/during/after hoặc bins phù hợp</x:v>
      </x:c>
      <x:c r="I275" s="38" t="str">
        <x:v>P0</x:v>
      </x:c>
      <x:c r="J275" s="38" t="str">
        <x:v>TODO</x:v>
      </x:c>
      <x:c r="K275" s="39" t="n">
        <x:f>IF(J275="DONE",1,IF(J275="REVIEW",0.8,IF(J275="DOING",0.5,0)))</x:f>
        <x:v>0</x:v>
      </x:c>
      <x:c r="L275" s="40"/>
      <x:c r="M275" s="40"/>
      <x:c r="N275" s="37" t="str"/>
    </x:row>
    <x:row r="276" ht="44" customHeight="1">
      <x:c r="A276" s="18" t="str">
        <x:v>P8-21</x:v>
      </x:c>
      <x:c r="B276" s="18" t="str">
        <x:v>Phase 8 - EDA</x:v>
      </x:c>
      <x:c r="C276" s="18" t="str">
        <x:v>Wind direction</x:v>
      </x:c>
      <x:c r="D276" s="37" t="str">
        <x:v>Phân tích PM2.5 theo wind direction nếu dữ liệu đủ</x:v>
      </x:c>
      <x:c r="E276" s="38" t="str">
        <x:v>B</x:v>
      </x:c>
      <x:c r="F276" s="38" t="str">
        <x:v>A</x:v>
      </x:c>
      <x:c r="G276" s="37" t="str">
        <x:v>P8-06</x:v>
      </x:c>
      <x:c r="H276" s="37" t="str">
        <x:v>Category hiếm và missing được xử lý minh bạch</x:v>
      </x:c>
      <x:c r="I276" s="38" t="str">
        <x:v>P2</x:v>
      </x:c>
      <x:c r="J276" s="38" t="str">
        <x:v>TODO</x:v>
      </x:c>
      <x:c r="K276" s="39" t="n">
        <x:f>IF(J276="DONE",1,IF(J276="REVIEW",0.8,IF(J276="DOING",0.5,0)))</x:f>
        <x:v>0</x:v>
      </x:c>
      <x:c r="L276" s="40"/>
      <x:c r="M276" s="40"/>
      <x:c r="N276" s="37" t="str"/>
    </x:row>
    <x:row r="277" ht="44" customHeight="1">
      <x:c r="A277" s="18" t="str">
        <x:v>P8-22</x:v>
      </x:c>
      <x:c r="B277" s="18" t="str">
        <x:v>Phase 8 - EDA</x:v>
      </x:c>
      <x:c r="C277" s="18" t="str">
        <x:v>Extreme review</x:v>
      </x:c>
      <x:c r="D277" s="37" t="str">
        <x:v>Điều tra extreme pollutant theo station và timestamp</x:v>
      </x:c>
      <x:c r="E277" s="38" t="str">
        <x:v>A</x:v>
      </x:c>
      <x:c r="F277" s="38" t="str">
        <x:v>B</x:v>
      </x:c>
      <x:c r="G277" s="37" t="str">
        <x:v>P8-14</x:v>
      </x:c>
      <x:c r="H277" s="37" t="str">
        <x:v>Không tự xóa extreme; ghi bằng chứng và quality flag</x:v>
      </x:c>
      <x:c r="I277" s="38" t="str">
        <x:v>P0</x:v>
      </x:c>
      <x:c r="J277" s="38" t="str">
        <x:v>TODO</x:v>
      </x:c>
      <x:c r="K277" s="39" t="n">
        <x:f>IF(J277="DONE",1,IF(J277="REVIEW",0.8,IF(J277="DOING",0.5,0)))</x:f>
        <x:v>0</x:v>
      </x:c>
      <x:c r="L277" s="40"/>
      <x:c r="M277" s="40"/>
      <x:c r="N277" s="37" t="str"/>
    </x:row>
    <x:row r="278" ht="44" customHeight="1">
      <x:c r="A278" s="18" t="str">
        <x:v>P8-23</x:v>
      </x:c>
      <x:c r="B278" s="18" t="str">
        <x:v>Phase 8 - EDA</x:v>
      </x:c>
      <x:c r="C278" s="18" t="str">
        <x:v>Missing bias</x:v>
      </x:c>
      <x:c r="D278" s="37" t="str">
        <x:v>Kiểm tra missing có tập trung theo station, mùa hoặc giai đoạn không</x:v>
      </x:c>
      <x:c r="E278" s="38" t="str">
        <x:v>A</x:v>
      </x:c>
      <x:c r="F278" s="38" t="str">
        <x:v>B</x:v>
      </x:c>
      <x:c r="G278" s="37" t="str">
        <x:v>P8-06</x:v>
      </x:c>
      <x:c r="H278" s="37" t="str">
        <x:v>Rủi ro bias do missing được document</x:v>
      </x:c>
      <x:c r="I278" s="38" t="str">
        <x:v>P0</x:v>
      </x:c>
      <x:c r="J278" s="38" t="str">
        <x:v>TODO</x:v>
      </x:c>
      <x:c r="K278" s="39" t="n">
        <x:f>IF(J278="DONE",1,IF(J278="REVIEW",0.8,IF(J278="DOING",0.5,0)))</x:f>
        <x:v>0</x:v>
      </x:c>
      <x:c r="L278" s="40"/>
      <x:c r="M278" s="40"/>
      <x:c r="N278" s="37" t="str"/>
    </x:row>
    <x:row r="279" ht="44" customHeight="1">
      <x:c r="A279" s="18" t="str">
        <x:v>P8-24</x:v>
      </x:c>
      <x:c r="B279" s="18" t="str">
        <x:v>Phase 8 - EDA</x:v>
      </x:c>
      <x:c r="C279" s="18" t="str">
        <x:v>Visualization</x:v>
      </x:c>
      <x:c r="D279" s="37" t="str">
        <x:v>Tạo charts chính cho temporal và station comparison</x:v>
      </x:c>
      <x:c r="E279" s="38" t="str">
        <x:v>B</x:v>
      </x:c>
      <x:c r="F279" s="38" t="str">
        <x:v>A</x:v>
      </x:c>
      <x:c r="G279" s="37" t="str">
        <x:v>P8-07 đến P8-15</x:v>
      </x:c>
      <x:c r="H279" s="37" t="str">
        <x:v>Chart có title, unit, period, legend và không quá tải</x:v>
      </x:c>
      <x:c r="I279" s="38" t="str">
        <x:v>P1</x:v>
      </x:c>
      <x:c r="J279" s="38" t="str">
        <x:v>TODO</x:v>
      </x:c>
      <x:c r="K279" s="39" t="n">
        <x:f>IF(J279="DONE",1,IF(J279="REVIEW",0.8,IF(J279="DOING",0.5,0)))</x:f>
        <x:v>0</x:v>
      </x:c>
      <x:c r="L279" s="40"/>
      <x:c r="M279" s="40"/>
      <x:c r="N279" s="37" t="str"/>
    </x:row>
    <x:row r="280" ht="44" customHeight="1">
      <x:c r="A280" s="18" t="str">
        <x:v>P8-25</x:v>
      </x:c>
      <x:c r="B280" s="18" t="str">
        <x:v>Phase 8 - EDA</x:v>
      </x:c>
      <x:c r="C280" s="18" t="str">
        <x:v>Visualization</x:v>
      </x:c>
      <x:c r="D280" s="37" t="str">
        <x:v>Tạo charts chính cho pollutant-weather relationship</x:v>
      </x:c>
      <x:c r="E280" s="38" t="str">
        <x:v>B</x:v>
      </x:c>
      <x:c r="F280" s="38" t="str">
        <x:v>A</x:v>
      </x:c>
      <x:c r="G280" s="37" t="str">
        <x:v>P8-16 đến P8-21</x:v>
      </x:c>
      <x:c r="H280" s="37" t="str">
        <x:v>Chart phản ánh đúng filter và sample</x:v>
      </x:c>
      <x:c r="I280" s="38" t="str">
        <x:v>P1</x:v>
      </x:c>
      <x:c r="J280" s="38" t="str">
        <x:v>TODO</x:v>
      </x:c>
      <x:c r="K280" s="39" t="n">
        <x:f>IF(J280="DONE",1,IF(J280="REVIEW",0.8,IF(J280="DOING",0.5,0)))</x:f>
        <x:v>0</x:v>
      </x:c>
      <x:c r="L280" s="40"/>
      <x:c r="M280" s="40"/>
      <x:c r="N280" s="37" t="str"/>
    </x:row>
    <x:row r="281" ht="44" customHeight="1">
      <x:c r="A281" s="18" t="str">
        <x:v>P8-26</x:v>
      </x:c>
      <x:c r="B281" s="18" t="str">
        <x:v>Phase 8 - EDA</x:v>
      </x:c>
      <x:c r="C281" s="18" t="str">
        <x:v>Insights</x:v>
      </x:c>
      <x:c r="D281" s="37" t="str">
        <x:v>Viết danh sách candidate insights có query/chart hỗ trợ</x:v>
      </x:c>
      <x:c r="E281" s="38" t="str">
        <x:v>B</x:v>
      </x:c>
      <x:c r="F281" s="38" t="str">
        <x:v>A</x:v>
      </x:c>
      <x:c r="G281" s="37" t="str">
        <x:v>P8-07 đến P8-25</x:v>
      </x:c>
      <x:c r="H281" s="37" t="str">
        <x:v>Mỗi insight truy vết được tới bằng chứng</x:v>
      </x:c>
      <x:c r="I281" s="38" t="str">
        <x:v>P0</x:v>
      </x:c>
      <x:c r="J281" s="38" t="str">
        <x:v>TODO</x:v>
      </x:c>
      <x:c r="K281" s="39" t="n">
        <x:f>IF(J281="DONE",1,IF(J281="REVIEW",0.8,IF(J281="DOING",0.5,0)))</x:f>
        <x:v>0</x:v>
      </x:c>
      <x:c r="L281" s="40"/>
      <x:c r="M281" s="40"/>
      <x:c r="N281" s="37" t="str"/>
    </x:row>
    <x:row r="282" ht="44" customHeight="1">
      <x:c r="A282" s="18" t="str">
        <x:v>P8-27</x:v>
      </x:c>
      <x:c r="B282" s="18" t="str">
        <x:v>Phase 8 - EDA</x:v>
      </x:c>
      <x:c r="C282" s="18" t="str">
        <x:v>Feature candidates</x:v>
      </x:c>
      <x:c r="D282" s="37" t="str">
        <x:v>Đề xuất candidate features cho clustering</x:v>
      </x:c>
      <x:c r="E282" s="38" t="str">
        <x:v>B</x:v>
      </x:c>
      <x:c r="F282" s="38" t="str">
        <x:v>A</x:v>
      </x:c>
      <x:c r="G282" s="37" t="str">
        <x:v>P8-12 đến P8-23</x:v>
      </x:c>
      <x:c r="H282" s="37" t="str">
        <x:v>Feature có ý nghĩa station profile và không phụ thuộc tương lai</x:v>
      </x:c>
      <x:c r="I282" s="38" t="str">
        <x:v>P0</x:v>
      </x:c>
      <x:c r="J282" s="38" t="str">
        <x:v>TODO</x:v>
      </x:c>
      <x:c r="K282" s="39" t="n">
        <x:f>IF(J282="DONE",1,IF(J282="REVIEW",0.8,IF(J282="DOING",0.5,0)))</x:f>
        <x:v>0</x:v>
      </x:c>
      <x:c r="L282" s="40"/>
      <x:c r="M282" s="40"/>
      <x:c r="N282" s="37" t="str"/>
    </x:row>
    <x:row r="283" ht="44" customHeight="1">
      <x:c r="A283" s="18" t="str">
        <x:v>P8-28</x:v>
      </x:c>
      <x:c r="B283" s="18" t="str">
        <x:v>Phase 8 - EDA</x:v>
      </x:c>
      <x:c r="C283" s="18" t="str">
        <x:v>Feature candidates</x:v>
      </x:c>
      <x:c r="D283" s="37" t="str">
        <x:v>Đề xuất candidate features cho forecasting</x:v>
      </x:c>
      <x:c r="E283" s="38" t="str">
        <x:v>B</x:v>
      </x:c>
      <x:c r="F283" s="38" t="str">
        <x:v>A</x:v>
      </x:c>
      <x:c r="G283" s="37" t="str">
        <x:v>P8-07 đến P8-23</x:v>
      </x:c>
      <x:c r="H283" s="37" t="str">
        <x:v>Feature availability tại prediction time được nêu rõ</x:v>
      </x:c>
      <x:c r="I283" s="38" t="str">
        <x:v>P0</x:v>
      </x:c>
      <x:c r="J283" s="38" t="str">
        <x:v>TODO</x:v>
      </x:c>
      <x:c r="K283" s="39" t="n">
        <x:f>IF(J283="DONE",1,IF(J283="REVIEW",0.8,IF(J283="DOING",0.5,0)))</x:f>
        <x:v>0</x:v>
      </x:c>
      <x:c r="L283" s="40"/>
      <x:c r="M283" s="40"/>
      <x:c r="N283" s="37" t="str"/>
    </x:row>
    <x:row r="284" ht="44" customHeight="1">
      <x:c r="A284" s="18" t="str">
        <x:v>P8-29</x:v>
      </x:c>
      <x:c r="B284" s="18" t="str">
        <x:v>Phase 8 - EDA</x:v>
      </x:c>
      <x:c r="C284" s="18" t="str">
        <x:v>Documentation</x:v>
      </x:c>
      <x:c r="D284" s="37" t="str">
        <x:v>Cập nhật data issues mới vào DATA_GUIDE</x:v>
      </x:c>
      <x:c r="E284" s="38" t="str">
        <x:v>A</x:v>
      </x:c>
      <x:c r="F284" s="38" t="str">
        <x:v>B</x:v>
      </x:c>
      <x:c r="G284" s="37" t="str">
        <x:v>P8-22, P8-23</x:v>
      </x:c>
      <x:c r="H284" s="37" t="str">
        <x:v>Issue, ảnh hưởng và cách xử lý được ghi lại</x:v>
      </x:c>
      <x:c r="I284" s="38" t="str">
        <x:v>P0</x:v>
      </x:c>
      <x:c r="J284" s="38" t="str">
        <x:v>TODO</x:v>
      </x:c>
      <x:c r="K284" s="39" t="n">
        <x:f>IF(J284="DONE",1,IF(J284="REVIEW",0.8,IF(J284="DOING",0.5,0)))</x:f>
        <x:v>0</x:v>
      </x:c>
      <x:c r="L284" s="40"/>
      <x:c r="M284" s="40"/>
      <x:c r="N284" s="37" t="str"/>
    </x:row>
    <x:row r="285" ht="44" customHeight="1">
      <x:c r="A285" s="18" t="str">
        <x:v>P8-30</x:v>
      </x:c>
      <x:c r="B285" s="18" t="str">
        <x:v>Phase 8 - EDA</x:v>
      </x:c>
      <x:c r="C285" s="18" t="str">
        <x:v>Checkpoint</x:v>
      </x:c>
      <x:c r="D285" s="37" t="str">
        <x:v>Lưu notebook, reusable queries, figures và PROGRESS Phase 8</x:v>
      </x:c>
      <x:c r="E285" s="38" t="str">
        <x:v>A+B</x:v>
      </x:c>
      <x:c r="F285" s="38" t="str">
        <x:v>A+B</x:v>
      </x:c>
      <x:c r="G285" s="37" t="str">
        <x:v>P8-26 đến P8-29</x:v>
      </x:c>
      <x:c r="H285" s="37" t="str">
        <x:v>EDA reproducible; candidate insights/features đã review</x:v>
      </x:c>
      <x:c r="I285" s="38" t="str">
        <x:v>P0</x:v>
      </x:c>
      <x:c r="J285" s="38" t="str">
        <x:v>TODO</x:v>
      </x:c>
      <x:c r="K285" s="39" t="n">
        <x:f>IF(J285="DONE",1,IF(J285="REVIEW",0.8,IF(J285="DOING",0.5,0)))</x:f>
        <x:v>0</x:v>
      </x:c>
      <x:c r="L285" s="40"/>
      <x:c r="M285" s="40"/>
      <x:c r="N285" s="37" t="str"/>
    </x:row>
    <x:row r="286" ht="44" customHeight="1">
      <x:c r="A286" s="18" t="str">
        <x:v>P9-01</x:v>
      </x:c>
      <x:c r="B286" s="18" t="str">
        <x:v>Phase 9 - Clustering</x:v>
      </x:c>
      <x:c r="C286" s="18" t="str">
        <x:v>Điều kiện đầu vào</x:v>
      </x:c>
      <x:c r="D286" s="37" t="str">
        <x:v>Xác nhận EDA và candidate station-profile features đã hoàn tất</x:v>
      </x:c>
      <x:c r="E286" s="38" t="str">
        <x:v>A+B</x:v>
      </x:c>
      <x:c r="F286" s="38" t="str">
        <x:v>A+B</x:v>
      </x:c>
      <x:c r="G286" s="37" t="str">
        <x:v>P8-30</x:v>
      </x:c>
      <x:c r="H286" s="37" t="str">
        <x:v>Feature candidates có ý nghĩa và nguồn DWH rõ</x:v>
      </x:c>
      <x:c r="I286" s="38" t="str">
        <x:v>P0</x:v>
      </x:c>
      <x:c r="J286" s="38" t="str">
        <x:v>TODO</x:v>
      </x:c>
      <x:c r="K286" s="39" t="n">
        <x:f>IF(J286="DONE",1,IF(J286="REVIEW",0.8,IF(J286="DOING",0.5,0)))</x:f>
        <x:v>0</x:v>
      </x:c>
      <x:c r="L286" s="40"/>
      <x:c r="M286" s="40"/>
      <x:c r="N286" s="37" t="str"/>
    </x:row>
    <x:row r="287" ht="44" customHeight="1">
      <x:c r="A287" s="18" t="str">
        <x:v>P9-02</x:v>
      </x:c>
      <x:c r="B287" s="18" t="str">
        <x:v>Phase 9 - Clustering</x:v>
      </x:c>
      <x:c r="C287" s="18" t="str">
        <x:v>Unit of analysis</x:v>
      </x:c>
      <x:c r="D287" s="37" t="str">
        <x:v>Xác nhận mỗi row clustering đại diện một station</x:v>
      </x:c>
      <x:c r="E287" s="38" t="str">
        <x:v>B</x:v>
      </x:c>
      <x:c r="F287" s="38" t="str">
        <x:v>A</x:v>
      </x:c>
      <x:c r="G287" s="37" t="str">
        <x:v>P9-01</x:v>
      </x:c>
      <x:c r="H287" s="37" t="str">
        <x:v>Dataset có 12 row station, không dùng hourly rows trực tiếp</x:v>
      </x:c>
      <x:c r="I287" s="38" t="str">
        <x:v>P0</x:v>
      </x:c>
      <x:c r="J287" s="38" t="str">
        <x:v>TODO</x:v>
      </x:c>
      <x:c r="K287" s="39" t="n">
        <x:f>IF(J287="DONE",1,IF(J287="REVIEW",0.8,IF(J287="DOING",0.5,0)))</x:f>
        <x:v>0</x:v>
      </x:c>
      <x:c r="L287" s="40"/>
      <x:c r="M287" s="40"/>
      <x:c r="N287" s="37" t="str"/>
    </x:row>
    <x:row r="288" ht="44" customHeight="1">
      <x:c r="A288" s="18" t="str">
        <x:v>P9-03</x:v>
      </x:c>
      <x:c r="B288" s="18" t="str">
        <x:v>Phase 9 - Clustering</x:v>
      </x:c>
      <x:c r="C288" s="18" t="str">
        <x:v>Feature design</x:v>
      </x:c>
      <x:c r="D288" s="37" t="str">
        <x:v>Chốt pollution central-tendency features</x:v>
      </x:c>
      <x:c r="E288" s="38" t="str">
        <x:v>B</x:v>
      </x:c>
      <x:c r="F288" s="38" t="str">
        <x:v>A</x:v>
      </x:c>
      <x:c r="G288" s="37" t="str">
        <x:v>P8-27, P9-02</x:v>
      </x:c>
      <x:c r="H288" s="37" t="str">
        <x:v>Mean/median phù hợp cho PM2.5, PM10 và pollutant chọn lọc</x:v>
      </x:c>
      <x:c r="I288" s="38" t="str">
        <x:v>P0</x:v>
      </x:c>
      <x:c r="J288" s="38" t="str">
        <x:v>TODO</x:v>
      </x:c>
      <x:c r="K288" s="39" t="n">
        <x:f>IF(J288="DONE",1,IF(J288="REVIEW",0.8,IF(J288="DOING",0.5,0)))</x:f>
        <x:v>0</x:v>
      </x:c>
      <x:c r="L288" s="40"/>
      <x:c r="M288" s="40"/>
      <x:c r="N288" s="37" t="str"/>
    </x:row>
    <x:row r="289" ht="44" customHeight="1">
      <x:c r="A289" s="18" t="str">
        <x:v>P9-04</x:v>
      </x:c>
      <x:c r="B289" s="18" t="str">
        <x:v>Phase 9 - Clustering</x:v>
      </x:c>
      <x:c r="C289" s="18" t="str">
        <x:v>Feature design</x:v>
      </x:c>
      <x:c r="D289" s="37" t="str">
        <x:v>Chốt variability và peak features</x:v>
      </x:c>
      <x:c r="E289" s="38" t="str">
        <x:v>B</x:v>
      </x:c>
      <x:c r="F289" s="38" t="str">
        <x:v>A</x:v>
      </x:c>
      <x:c r="G289" s="37" t="str">
        <x:v>P8-27, P9-02</x:v>
      </x:c>
      <x:c r="H289" s="37" t="str">
        <x:v>Có std/percentile/high-pollution ratio hợp lý</x:v>
      </x:c>
      <x:c r="I289" s="38" t="str">
        <x:v>P0</x:v>
      </x:c>
      <x:c r="J289" s="38" t="str">
        <x:v>TODO</x:v>
      </x:c>
      <x:c r="K289" s="39" t="n">
        <x:f>IF(J289="DONE",1,IF(J289="REVIEW",0.8,IF(J289="DOING",0.5,0)))</x:f>
        <x:v>0</x:v>
      </x:c>
      <x:c r="L289" s="40"/>
      <x:c r="M289" s="40"/>
      <x:c r="N289" s="37" t="str"/>
    </x:row>
    <x:row r="290" ht="44" customHeight="1">
      <x:c r="A290" s="18" t="str">
        <x:v>P9-05</x:v>
      </x:c>
      <x:c r="B290" s="18" t="str">
        <x:v>Phase 9 - Clustering</x:v>
      </x:c>
      <x:c r="C290" s="18" t="str">
        <x:v>Feature design</x:v>
      </x:c>
      <x:c r="D290" s="37" t="str">
        <x:v>Chốt seasonal profile features</x:v>
      </x:c>
      <x:c r="E290" s="38" t="str">
        <x:v>B</x:v>
      </x:c>
      <x:c r="F290" s="38" t="str">
        <x:v>A</x:v>
      </x:c>
      <x:c r="G290" s="37" t="str">
        <x:v>P8-27, P9-02</x:v>
      </x:c>
      <x:c r="H290" s="37" t="str">
        <x:v>Seasonal indicators không quá nhiều so với 12 station</x:v>
      </x:c>
      <x:c r="I290" s="38" t="str">
        <x:v>P1</x:v>
      </x:c>
      <x:c r="J290" s="38" t="str">
        <x:v>TODO</x:v>
      </x:c>
      <x:c r="K290" s="39" t="n">
        <x:f>IF(J290="DONE",1,IF(J290="REVIEW",0.8,IF(J290="DOING",0.5,0)))</x:f>
        <x:v>0</x:v>
      </x:c>
      <x:c r="L290" s="40"/>
      <x:c r="M290" s="40"/>
      <x:c r="N290" s="37" t="str"/>
    </x:row>
    <x:row r="291" ht="44" customHeight="1">
      <x:c r="A291" s="18" t="str">
        <x:v>P9-06</x:v>
      </x:c>
      <x:c r="B291" s="18" t="str">
        <x:v>Phase 9 - Clustering</x:v>
      </x:c>
      <x:c r="C291" s="18" t="str">
        <x:v>Feature review</x:v>
      </x:c>
      <x:c r="D291" s="37" t="str">
        <x:v>Loại feature trùng lặp hoặc khó giải thích</x:v>
      </x:c>
      <x:c r="E291" s="38" t="str">
        <x:v>A+B</x:v>
      </x:c>
      <x:c r="F291" s="38" t="str">
        <x:v>A+B</x:v>
      </x:c>
      <x:c r="G291" s="37" t="str">
        <x:v>P9-03 đến P9-05</x:v>
      </x:c>
      <x:c r="H291" s="37" t="str">
        <x:v>Feature set gọn, có lý do giữ/bỏ</x:v>
      </x:c>
      <x:c r="I291" s="38" t="str">
        <x:v>P0</x:v>
      </x:c>
      <x:c r="J291" s="38" t="str">
        <x:v>TODO</x:v>
      </x:c>
      <x:c r="K291" s="39" t="n">
        <x:f>IF(J291="DONE",1,IF(J291="REVIEW",0.8,IF(J291="DOING",0.5,0)))</x:f>
        <x:v>0</x:v>
      </x:c>
      <x:c r="L291" s="40"/>
      <x:c r="M291" s="40"/>
      <x:c r="N291" s="37" t="str"/>
    </x:row>
    <x:row r="292" ht="44" customHeight="1">
      <x:c r="A292" s="18" t="str">
        <x:v>P9-07</x:v>
      </x:c>
      <x:c r="B292" s="18" t="str">
        <x:v>Phase 9 - Clustering</x:v>
      </x:c>
      <x:c r="C292" s="18" t="str">
        <x:v>Feature query</x:v>
      </x:c>
      <x:c r="D292" s="37" t="str">
        <x:v>Viết query/dbt model tạo station profile</x:v>
      </x:c>
      <x:c r="E292" s="38" t="str">
        <x:v>B</x:v>
      </x:c>
      <x:c r="F292" s="38" t="str">
        <x:v>A</x:v>
      </x:c>
      <x:c r="G292" s="37" t="str">
        <x:v>P9-06</x:v>
      </x:c>
      <x:c r="H292" s="37" t="str">
        <x:v>Một row mỗi station và công thức aggregate rõ</x:v>
      </x:c>
      <x:c r="I292" s="38" t="str">
        <x:v>P0</x:v>
      </x:c>
      <x:c r="J292" s="38" t="str">
        <x:v>TODO</x:v>
      </x:c>
      <x:c r="K292" s="39" t="n">
        <x:f>IF(J292="DONE",1,IF(J292="REVIEW",0.8,IF(J292="DOING",0.5,0)))</x:f>
        <x:v>0</x:v>
      </x:c>
      <x:c r="L292" s="40"/>
      <x:c r="M292" s="40"/>
      <x:c r="N292" s="37" t="str"/>
    </x:row>
    <x:row r="293" ht="44" customHeight="1">
      <x:c r="A293" s="18" t="str">
        <x:v>P9-08</x:v>
      </x:c>
      <x:c r="B293" s="18" t="str">
        <x:v>Phase 9 - Clustering</x:v>
      </x:c>
      <x:c r="C293" s="18" t="str">
        <x:v>Reconciliation</x:v>
      </x:c>
      <x:c r="D293" s="37" t="str">
        <x:v>Kiểm tra đủ 12 station và feature values</x:v>
      </x:c>
      <x:c r="E293" s="38" t="str">
        <x:v>A</x:v>
      </x:c>
      <x:c r="F293" s="38" t="str">
        <x:v>B</x:v>
      </x:c>
      <x:c r="G293" s="37" t="str">
        <x:v>P9-07</x:v>
      </x:c>
      <x:c r="H293" s="37" t="str">
        <x:v>Không thiếu station; missing feature được xử lý minh bạch</x:v>
      </x:c>
      <x:c r="I293" s="38" t="str">
        <x:v>P0</x:v>
      </x:c>
      <x:c r="J293" s="38" t="str">
        <x:v>TODO</x:v>
      </x:c>
      <x:c r="K293" s="39" t="n">
        <x:f>IF(J293="DONE",1,IF(J293="REVIEW",0.8,IF(J293="DOING",0.5,0)))</x:f>
        <x:v>0</x:v>
      </x:c>
      <x:c r="L293" s="40"/>
      <x:c r="M293" s="40"/>
      <x:c r="N293" s="37" t="str"/>
    </x:row>
    <x:row r="294" ht="44" customHeight="1">
      <x:c r="A294" s="18" t="str">
        <x:v>P9-09</x:v>
      </x:c>
      <x:c r="B294" s="18" t="str">
        <x:v>Phase 9 - Clustering</x:v>
      </x:c>
      <x:c r="C294" s="18" t="str">
        <x:v>Missing strategy</x:v>
      </x:c>
      <x:c r="D294" s="37" t="str">
        <x:v>Chốt xử lý missing trong station-profile features</x:v>
      </x:c>
      <x:c r="E294" s="38" t="str">
        <x:v>A+B</x:v>
      </x:c>
      <x:c r="F294" s="38" t="str">
        <x:v>A+B</x:v>
      </x:c>
      <x:c r="G294" s="37" t="str">
        <x:v>P9-08</x:v>
      </x:c>
      <x:c r="H294" s="37" t="str">
        <x:v>Không impute tùy tiện; strategy được document</x:v>
      </x:c>
      <x:c r="I294" s="38" t="str">
        <x:v>P0</x:v>
      </x:c>
      <x:c r="J294" s="38" t="str">
        <x:v>TODO</x:v>
      </x:c>
      <x:c r="K294" s="39" t="n">
        <x:f>IF(J294="DONE",1,IF(J294="REVIEW",0.8,IF(J294="DOING",0.5,0)))</x:f>
        <x:v>0</x:v>
      </x:c>
      <x:c r="L294" s="40"/>
      <x:c r="M294" s="40"/>
      <x:c r="N294" s="37" t="str"/>
    </x:row>
    <x:row r="295" ht="44" customHeight="1">
      <x:c r="A295" s="18" t="str">
        <x:v>P9-10</x:v>
      </x:c>
      <x:c r="B295" s="18" t="str">
        <x:v>Phase 9 - Clustering</x:v>
      </x:c>
      <x:c r="C295" s="18" t="str">
        <x:v>Outlier review</x:v>
      </x:c>
      <x:c r="D295" s="37" t="str">
        <x:v>Kiểm tra station profile outlier trước standardization</x:v>
      </x:c>
      <x:c r="E295" s="38" t="str">
        <x:v>B</x:v>
      </x:c>
      <x:c r="F295" s="38" t="str">
        <x:v>A</x:v>
      </x:c>
      <x:c r="G295" s="37" t="str">
        <x:v>P9-08</x:v>
      </x:c>
      <x:c r="H295" s="37" t="str">
        <x:v>Biết giá trị nào là đặc trưng thật hay lỗi dữ liệu</x:v>
      </x:c>
      <x:c r="I295" s="38" t="str">
        <x:v>P1</x:v>
      </x:c>
      <x:c r="J295" s="38" t="str">
        <x:v>TODO</x:v>
      </x:c>
      <x:c r="K295" s="39" t="n">
        <x:f>IF(J295="DONE",1,IF(J295="REVIEW",0.8,IF(J295="DOING",0.5,0)))</x:f>
        <x:v>0</x:v>
      </x:c>
      <x:c r="L295" s="40"/>
      <x:c r="M295" s="40"/>
      <x:c r="N295" s="37" t="str"/>
    </x:row>
    <x:row r="296" ht="44" customHeight="1">
      <x:c r="A296" s="18" t="str">
        <x:v>P9-11</x:v>
      </x:c>
      <x:c r="B296" s="18" t="str">
        <x:v>Phase 9 - Clustering</x:v>
      </x:c>
      <x:c r="C296" s="18" t="str">
        <x:v>Scaling</x:v>
      </x:c>
      <x:c r="D296" s="37" t="str">
        <x:v>Fit StandardScaler trên station-profile dataset</x:v>
      </x:c>
      <x:c r="E296" s="38" t="str">
        <x:v>B</x:v>
      </x:c>
      <x:c r="F296" s="38" t="str">
        <x:v>A</x:v>
      </x:c>
      <x:c r="G296" s="37" t="str">
        <x:v>P9-09, P9-10</x:v>
      </x:c>
      <x:c r="H296" s="37" t="str">
        <x:v>Feature scales comparable; scaler parameters được lưu</x:v>
      </x:c>
      <x:c r="I296" s="38" t="str">
        <x:v>P0</x:v>
      </x:c>
      <x:c r="J296" s="38" t="str">
        <x:v>TODO</x:v>
      </x:c>
      <x:c r="K296" s="39" t="n">
        <x:f>IF(J296="DONE",1,IF(J296="REVIEW",0.8,IF(J296="DOING",0.5,0)))</x:f>
        <x:v>0</x:v>
      </x:c>
      <x:c r="L296" s="40"/>
      <x:c r="M296" s="40"/>
      <x:c r="N296" s="37" t="str"/>
    </x:row>
    <x:row r="297" ht="44" customHeight="1">
      <x:c r="A297" s="18" t="str">
        <x:v>P9-12</x:v>
      </x:c>
      <x:c r="B297" s="18" t="str">
        <x:v>Phase 9 - Clustering</x:v>
      </x:c>
      <x:c r="C297" s="18" t="str">
        <x:v>Experiment</x:v>
      </x:c>
      <x:c r="D297" s="37" t="str">
        <x:v>Chạy KMeans với dải k hợp lý</x:v>
      </x:c>
      <x:c r="E297" s="38" t="str">
        <x:v>B</x:v>
      </x:c>
      <x:c r="F297" s="38" t="str">
        <x:v>A</x:v>
      </x:c>
      <x:c r="G297" s="37" t="str">
        <x:v>P9-11</x:v>
      </x:c>
      <x:c r="H297" s="37" t="str">
        <x:v>Có kết quả nhiều k; random_state cố định</x:v>
      </x:c>
      <x:c r="I297" s="38" t="str">
        <x:v>P0</x:v>
      </x:c>
      <x:c r="J297" s="38" t="str">
        <x:v>TODO</x:v>
      </x:c>
      <x:c r="K297" s="39" t="n">
        <x:f>IF(J297="DONE",1,IF(J297="REVIEW",0.8,IF(J297="DOING",0.5,0)))</x:f>
        <x:v>0</x:v>
      </x:c>
      <x:c r="L297" s="40"/>
      <x:c r="M297" s="40"/>
      <x:c r="N297" s="37" t="str"/>
    </x:row>
    <x:row r="298" ht="44" customHeight="1">
      <x:c r="A298" s="18" t="str">
        <x:v>P9-13</x:v>
      </x:c>
      <x:c r="B298" s="18" t="str">
        <x:v>Phase 9 - Clustering</x:v>
      </x:c>
      <x:c r="C298" s="18" t="str">
        <x:v>Evaluation</x:v>
      </x:c>
      <x:c r="D298" s="37" t="str">
        <x:v>Tính inertia/elbow cho từng k</x:v>
      </x:c>
      <x:c r="E298" s="38" t="str">
        <x:v>B</x:v>
      </x:c>
      <x:c r="F298" s="38" t="str">
        <x:v>A</x:v>
      </x:c>
      <x:c r="G298" s="37" t="str">
        <x:v>P9-12</x:v>
      </x:c>
      <x:c r="H298" s="37" t="str">
        <x:v>Có bảng và chart elbow</x:v>
      </x:c>
      <x:c r="I298" s="38" t="str">
        <x:v>P1</x:v>
      </x:c>
      <x:c r="J298" s="38" t="str">
        <x:v>TODO</x:v>
      </x:c>
      <x:c r="K298" s="39" t="n">
        <x:f>IF(J298="DONE",1,IF(J298="REVIEW",0.8,IF(J298="DOING",0.5,0)))</x:f>
        <x:v>0</x:v>
      </x:c>
      <x:c r="L298" s="40"/>
      <x:c r="M298" s="40"/>
      <x:c r="N298" s="37" t="str"/>
    </x:row>
    <x:row r="299" ht="44" customHeight="1">
      <x:c r="A299" s="18" t="str">
        <x:v>P9-14</x:v>
      </x:c>
      <x:c r="B299" s="18" t="str">
        <x:v>Phase 9 - Clustering</x:v>
      </x:c>
      <x:c r="C299" s="18" t="str">
        <x:v>Evaluation</x:v>
      </x:c>
      <x:c r="D299" s="37" t="str">
        <x:v>Tính silhouette score cho từng k hợp lệ</x:v>
      </x:c>
      <x:c r="E299" s="38" t="str">
        <x:v>B</x:v>
      </x:c>
      <x:c r="F299" s="38" t="str">
        <x:v>A</x:v>
      </x:c>
      <x:c r="G299" s="37" t="str">
        <x:v>P9-12</x:v>
      </x:c>
      <x:c r="H299" s="37" t="str">
        <x:v>Có score và lưu ý sample chỉ 12 station</x:v>
      </x:c>
      <x:c r="I299" s="38" t="str">
        <x:v>P0</x:v>
      </x:c>
      <x:c r="J299" s="38" t="str">
        <x:v>TODO</x:v>
      </x:c>
      <x:c r="K299" s="39" t="n">
        <x:f>IF(J299="DONE",1,IF(J299="REVIEW",0.8,IF(J299="DOING",0.5,0)))</x:f>
        <x:v>0</x:v>
      </x:c>
      <x:c r="L299" s="40"/>
      <x:c r="M299" s="40"/>
      <x:c r="N299" s="37" t="str"/>
    </x:row>
    <x:row r="300" ht="44" customHeight="1">
      <x:c r="A300" s="18" t="str">
        <x:v>P9-15</x:v>
      </x:c>
      <x:c r="B300" s="18" t="str">
        <x:v>Phase 9 - Clustering</x:v>
      </x:c>
      <x:c r="C300" s="18" t="str">
        <x:v>Stability</x:v>
      </x:c>
      <x:c r="D300" s="37" t="str">
        <x:v>Chạy nhiều random seed để kiểm tra cluster stability</x:v>
      </x:c>
      <x:c r="E300" s="38" t="str">
        <x:v>A</x:v>
      </x:c>
      <x:c r="F300" s="38" t="str">
        <x:v>B</x:v>
      </x:c>
      <x:c r="G300" s="37" t="str">
        <x:v>P9-12</x:v>
      </x:c>
      <x:c r="H300" s="37" t="str">
        <x:v>Assignment không phụ thuộc bất thường vào seed</x:v>
      </x:c>
      <x:c r="I300" s="38" t="str">
        <x:v>P1</x:v>
      </x:c>
      <x:c r="J300" s="38" t="str">
        <x:v>TODO</x:v>
      </x:c>
      <x:c r="K300" s="39" t="n">
        <x:f>IF(J300="DONE",1,IF(J300="REVIEW",0.8,IF(J300="DOING",0.5,0)))</x:f>
        <x:v>0</x:v>
      </x:c>
      <x:c r="L300" s="40"/>
      <x:c r="M300" s="40"/>
      <x:c r="N300" s="37" t="str"/>
    </x:row>
    <x:row r="301" ht="44" customHeight="1">
      <x:c r="A301" s="18" t="str">
        <x:v>P9-16</x:v>
      </x:c>
      <x:c r="B301" s="18" t="str">
        <x:v>Phase 9 - Clustering</x:v>
      </x:c>
      <x:c r="C301" s="18" t="str">
        <x:v>Interpretability</x:v>
      </x:c>
      <x:c r="D301" s="37" t="str">
        <x:v>Tạo cluster centroids/profiles ở scale gốc</x:v>
      </x:c>
      <x:c r="E301" s="38" t="str">
        <x:v>B</x:v>
      </x:c>
      <x:c r="F301" s="38" t="str">
        <x:v>A</x:v>
      </x:c>
      <x:c r="G301" s="37" t="str">
        <x:v>P9-12</x:v>
      </x:c>
      <x:c r="H301" s="37" t="str">
        <x:v>Đọc được cluster cao/thấp ở feature nào</x:v>
      </x:c>
      <x:c r="I301" s="38" t="str">
        <x:v>P0</x:v>
      </x:c>
      <x:c r="J301" s="38" t="str">
        <x:v>TODO</x:v>
      </x:c>
      <x:c r="K301" s="39" t="n">
        <x:f>IF(J301="DONE",1,IF(J301="REVIEW",0.8,IF(J301="DOING",0.5,0)))</x:f>
        <x:v>0</x:v>
      </x:c>
      <x:c r="L301" s="40"/>
      <x:c r="M301" s="40"/>
      <x:c r="N301" s="37" t="str"/>
    </x:row>
    <x:row r="302" ht="44" customHeight="1">
      <x:c r="A302" s="18" t="str">
        <x:v>P9-17</x:v>
      </x:c>
      <x:c r="B302" s="18" t="str">
        <x:v>Phase 9 - Clustering</x:v>
      </x:c>
      <x:c r="C302" s="18" t="str">
        <x:v>Decision Gate</x:v>
      </x:c>
      <x:c r="D302" s="37" t="str">
        <x:v>Chọn k dựa trên metric, stability và interpretability</x:v>
      </x:c>
      <x:c r="E302" s="38" t="str">
        <x:v>A+B</x:v>
      </x:c>
      <x:c r="F302" s="38" t="str">
        <x:v>A+B</x:v>
      </x:c>
      <x:c r="G302" s="37" t="str">
        <x:v>P9-13 đến P9-16</x:v>
      </x:c>
      <x:c r="H302" s="37" t="str">
        <x:v>Không chọn k chỉ vì silhouette cao nhất</x:v>
      </x:c>
      <x:c r="I302" s="38" t="str">
        <x:v>P0</x:v>
      </x:c>
      <x:c r="J302" s="38" t="str">
        <x:v>TODO</x:v>
      </x:c>
      <x:c r="K302" s="39" t="n">
        <x:f>IF(J302="DONE",1,IF(J302="REVIEW",0.8,IF(J302="DOING",0.5,0)))</x:f>
        <x:v>0</x:v>
      </x:c>
      <x:c r="L302" s="40"/>
      <x:c r="M302" s="40"/>
      <x:c r="N302" s="37" t="str"/>
    </x:row>
    <x:row r="303" ht="44" customHeight="1">
      <x:c r="A303" s="18" t="str">
        <x:v>P9-18</x:v>
      </x:c>
      <x:c r="B303" s="18" t="str">
        <x:v>Phase 9 - Clustering</x:v>
      </x:c>
      <x:c r="C303" s="18" t="str">
        <x:v>Final model</x:v>
      </x:c>
      <x:c r="D303" s="37" t="str">
        <x:v>Fit final KMeans với k đã chọn</x:v>
      </x:c>
      <x:c r="E303" s="38" t="str">
        <x:v>B</x:v>
      </x:c>
      <x:c r="F303" s="38" t="str">
        <x:v>A</x:v>
      </x:c>
      <x:c r="G303" s="37" t="str">
        <x:v>P9-17</x:v>
      </x:c>
      <x:c r="H303" s="37" t="str">
        <x:v>Model reproducible; station assignment ổn định</x:v>
      </x:c>
      <x:c r="I303" s="38" t="str">
        <x:v>P0</x:v>
      </x:c>
      <x:c r="J303" s="38" t="str">
        <x:v>TODO</x:v>
      </x:c>
      <x:c r="K303" s="39" t="n">
        <x:f>IF(J303="DONE",1,IF(J303="REVIEW",0.8,IF(J303="DOING",0.5,0)))</x:f>
        <x:v>0</x:v>
      </x:c>
      <x:c r="L303" s="40"/>
      <x:c r="M303" s="40"/>
      <x:c r="N303" s="37" t="str"/>
    </x:row>
    <x:row r="304" ht="44" customHeight="1">
      <x:c r="A304" s="18" t="str">
        <x:v>P9-19</x:v>
      </x:c>
      <x:c r="B304" s="18" t="str">
        <x:v>Phase 9 - Clustering</x:v>
      </x:c>
      <x:c r="C304" s="18" t="str">
        <x:v>Results</x:v>
      </x:c>
      <x:c r="D304" s="37" t="str">
        <x:v>Xuất station_cluster_assignment</x:v>
      </x:c>
      <x:c r="E304" s="38" t="str">
        <x:v>B</x:v>
      </x:c>
      <x:c r="F304" s="38" t="str">
        <x:v>A</x:v>
      </x:c>
      <x:c r="G304" s="37" t="str">
        <x:v>P9-18</x:v>
      </x:c>
      <x:c r="H304" s="37" t="str">
        <x:v>Đủ 12 station, cluster label và model version</x:v>
      </x:c>
      <x:c r="I304" s="38" t="str">
        <x:v>P0</x:v>
      </x:c>
      <x:c r="J304" s="38" t="str">
        <x:v>TODO</x:v>
      </x:c>
      <x:c r="K304" s="39" t="n">
        <x:f>IF(J304="DONE",1,IF(J304="REVIEW",0.8,IF(J304="DOING",0.5,0)))</x:f>
        <x:v>0</x:v>
      </x:c>
      <x:c r="L304" s="40"/>
      <x:c r="M304" s="40"/>
      <x:c r="N304" s="37" t="str"/>
    </x:row>
    <x:row r="305" ht="44" customHeight="1">
      <x:c r="A305" s="18" t="str">
        <x:v>P9-20</x:v>
      </x:c>
      <x:c r="B305" s="18" t="str">
        <x:v>Phase 9 - Clustering</x:v>
      </x:c>
      <x:c r="C305" s="18" t="str">
        <x:v>Results</x:v>
      </x:c>
      <x:c r="D305" s="37" t="str">
        <x:v>Xuất cluster_profile summary</x:v>
      </x:c>
      <x:c r="E305" s="38" t="str">
        <x:v>B</x:v>
      </x:c>
      <x:c r="F305" s="38" t="str">
        <x:v>A</x:v>
      </x:c>
      <x:c r="G305" s="37" t="str">
        <x:v>P9-16, P9-18</x:v>
      </x:c>
      <x:c r="H305" s="37" t="str">
        <x:v>Profile có feature scale gốc và số station</x:v>
      </x:c>
      <x:c r="I305" s="38" t="str">
        <x:v>P0</x:v>
      </x:c>
      <x:c r="J305" s="38" t="str">
        <x:v>TODO</x:v>
      </x:c>
      <x:c r="K305" s="39" t="n">
        <x:f>IF(J305="DONE",1,IF(J305="REVIEW",0.8,IF(J305="DOING",0.5,0)))</x:f>
        <x:v>0</x:v>
      </x:c>
      <x:c r="L305" s="40"/>
      <x:c r="M305" s="40"/>
      <x:c r="N305" s="37" t="str"/>
    </x:row>
    <x:row r="306" ht="44" customHeight="1">
      <x:c r="A306" s="18" t="str">
        <x:v>P9-21</x:v>
      </x:c>
      <x:c r="B306" s="18" t="str">
        <x:v>Phase 9 - Clustering</x:v>
      </x:c>
      <x:c r="C306" s="18" t="str">
        <x:v>Visualization</x:v>
      </x:c>
      <x:c r="D306" s="37" t="str">
        <x:v>Tạo heatmap cluster-feature</x:v>
      </x:c>
      <x:c r="E306" s="38" t="str">
        <x:v>B</x:v>
      </x:c>
      <x:c r="F306" s="38" t="str">
        <x:v>A</x:v>
      </x:c>
      <x:c r="G306" s="37" t="str">
        <x:v>P9-20</x:v>
      </x:c>
      <x:c r="H306" s="37" t="str">
        <x:v>Scale và legend rõ; đọc được khác biệt cụm</x:v>
      </x:c>
      <x:c r="I306" s="38" t="str">
        <x:v>P1</x:v>
      </x:c>
      <x:c r="J306" s="38" t="str">
        <x:v>TODO</x:v>
      </x:c>
      <x:c r="K306" s="39" t="n">
        <x:f>IF(J306="DONE",1,IF(J306="REVIEW",0.8,IF(J306="DOING",0.5,0)))</x:f>
        <x:v>0</x:v>
      </x:c>
      <x:c r="L306" s="40"/>
      <x:c r="M306" s="40"/>
      <x:c r="N306" s="37" t="str"/>
    </x:row>
    <x:row r="307" ht="44" customHeight="1">
      <x:c r="A307" s="18" t="str">
        <x:v>P9-22</x:v>
      </x:c>
      <x:c r="B307" s="18" t="str">
        <x:v>Phase 9 - Clustering</x:v>
      </x:c>
      <x:c r="C307" s="18" t="str">
        <x:v>Visualization</x:v>
      </x:c>
      <x:c r="D307" s="37" t="str">
        <x:v>Tạo PCA 2D chỉ để minh họa nếu phù hợp</x:v>
      </x:c>
      <x:c r="E307" s="38" t="str">
        <x:v>B</x:v>
      </x:c>
      <x:c r="F307" s="38" t="str">
        <x:v>A</x:v>
      </x:c>
      <x:c r="G307" s="37" t="str">
        <x:v>P9-18</x:v>
      </x:c>
      <x:c r="H307" s="37" t="str">
        <x:v>Explained variance được ghi; không coi PCA plot là bằng chứng duy nhất</x:v>
      </x:c>
      <x:c r="I307" s="38" t="str">
        <x:v>P2</x:v>
      </x:c>
      <x:c r="J307" s="38" t="str">
        <x:v>TODO</x:v>
      </x:c>
      <x:c r="K307" s="39" t="n">
        <x:f>IF(J307="DONE",1,IF(J307="REVIEW",0.8,IF(J307="DOING",0.5,0)))</x:f>
        <x:v>0</x:v>
      </x:c>
      <x:c r="L307" s="40"/>
      <x:c r="M307" s="40"/>
      <x:c r="N307" s="37" t="str"/>
    </x:row>
    <x:row r="308" ht="44" customHeight="1">
      <x:c r="A308" s="18" t="str">
        <x:v>P9-23</x:v>
      </x:c>
      <x:c r="B308" s="18" t="str">
        <x:v>Phase 9 - Clustering</x:v>
      </x:c>
      <x:c r="C308" s="18" t="str">
        <x:v>Visualization</x:v>
      </x:c>
      <x:c r="D308" s="37" t="str">
        <x:v>Tạo station chart/map nếu tọa độ đã xác minh</x:v>
      </x:c>
      <x:c r="E308" s="38" t="str">
        <x:v>A</x:v>
      </x:c>
      <x:c r="F308" s="38" t="str">
        <x:v>B</x:v>
      </x:c>
      <x:c r="G308" s="37" t="str">
        <x:v>P5-24, P9-19</x:v>
      </x:c>
      <x:c r="H308" s="37" t="str">
        <x:v>Không gắn station vào district chưa xác minh</x:v>
      </x:c>
      <x:c r="I308" s="38" t="str">
        <x:v>P2</x:v>
      </x:c>
      <x:c r="J308" s="38" t="str">
        <x:v>TODO</x:v>
      </x:c>
      <x:c r="K308" s="39" t="n">
        <x:f>IF(J308="DONE",1,IF(J308="REVIEW",0.8,IF(J308="DOING",0.5,0)))</x:f>
        <x:v>0</x:v>
      </x:c>
      <x:c r="L308" s="40"/>
      <x:c r="M308" s="40"/>
      <x:c r="N308" s="37" t="str"/>
    </x:row>
    <x:row r="309" ht="44" customHeight="1">
      <x:c r="A309" s="18" t="str">
        <x:v>P9-24</x:v>
      </x:c>
      <x:c r="B309" s="18" t="str">
        <x:v>Phase 9 - Clustering</x:v>
      </x:c>
      <x:c r="C309" s="18" t="str">
        <x:v>Interpretation</x:v>
      </x:c>
      <x:c r="D309" s="37" t="str">
        <x:v>Đặt mô tả trung tính cho từng cluster</x:v>
      </x:c>
      <x:c r="E309" s="38" t="str">
        <x:v>B</x:v>
      </x:c>
      <x:c r="F309" s="38" t="str">
        <x:v>A</x:v>
      </x:c>
      <x:c r="G309" s="37" t="str">
        <x:v>P9-20, P9-21</x:v>
      </x:c>
      <x:c r="H309" s="37" t="str">
        <x:v>Tên/mô tả dựa trên feature, không gắn causal claim</x:v>
      </x:c>
      <x:c r="I309" s="38" t="str">
        <x:v>P0</x:v>
      </x:c>
      <x:c r="J309" s="38" t="str">
        <x:v>TODO</x:v>
      </x:c>
      <x:c r="K309" s="39" t="n">
        <x:f>IF(J309="DONE",1,IF(J309="REVIEW",0.8,IF(J309="DOING",0.5,0)))</x:f>
        <x:v>0</x:v>
      </x:c>
      <x:c r="L309" s="40"/>
      <x:c r="M309" s="40"/>
      <x:c r="N309" s="37" t="str"/>
    </x:row>
    <x:row r="310" ht="44" customHeight="1">
      <x:c r="A310" s="18" t="str">
        <x:v>P9-25</x:v>
      </x:c>
      <x:c r="B310" s="18" t="str">
        <x:v>Phase 9 - Clustering</x:v>
      </x:c>
      <x:c r="C310" s="18" t="str">
        <x:v>Sensitivity</x:v>
      </x:c>
      <x:c r="D310" s="37" t="str">
        <x:v>Thử bỏ một nhóm feature để xem assignment có thay đổi lớn</x:v>
      </x:c>
      <x:c r="E310" s="38" t="str">
        <x:v>A</x:v>
      </x:c>
      <x:c r="F310" s="38" t="str">
        <x:v>B</x:v>
      </x:c>
      <x:c r="G310" s="37" t="str">
        <x:v>P9-18</x:v>
      </x:c>
      <x:c r="H310" s="37" t="str">
        <x:v>Biết clustering nhạy với feature engineering đến mức nào</x:v>
      </x:c>
      <x:c r="I310" s="38" t="str">
        <x:v>P1</x:v>
      </x:c>
      <x:c r="J310" s="38" t="str">
        <x:v>TODO</x:v>
      </x:c>
      <x:c r="K310" s="39" t="n">
        <x:f>IF(J310="DONE",1,IF(J310="REVIEW",0.8,IF(J310="DOING",0.5,0)))</x:f>
        <x:v>0</x:v>
      </x:c>
      <x:c r="L310" s="40"/>
      <x:c r="M310" s="40"/>
      <x:c r="N310" s="37" t="str"/>
    </x:row>
    <x:row r="311" ht="44" customHeight="1">
      <x:c r="A311" s="18" t="str">
        <x:v>P9-26</x:v>
      </x:c>
      <x:c r="B311" s="18" t="str">
        <x:v>Phase 9 - Clustering</x:v>
      </x:c>
      <x:c r="C311" s="18" t="str">
        <x:v>Persistence</x:v>
      </x:c>
      <x:c r="D311" s="37" t="str">
        <x:v>Lưu scaler, model và feature list</x:v>
      </x:c>
      <x:c r="E311" s="38" t="str">
        <x:v>B</x:v>
      </x:c>
      <x:c r="F311" s="38" t="str">
        <x:v>A</x:v>
      </x:c>
      <x:c r="G311" s="37" t="str">
        <x:v>P9-18</x:v>
      </x:c>
      <x:c r="H311" s="37" t="str">
        <x:v>Artifact có version và load lại được</x:v>
      </x:c>
      <x:c r="I311" s="38" t="str">
        <x:v>P0</x:v>
      </x:c>
      <x:c r="J311" s="38" t="str">
        <x:v>TODO</x:v>
      </x:c>
      <x:c r="K311" s="39" t="n">
        <x:f>IF(J311="DONE",1,IF(J311="REVIEW",0.8,IF(J311="DOING",0.5,0)))</x:f>
        <x:v>0</x:v>
      </x:c>
      <x:c r="L311" s="40"/>
      <x:c r="M311" s="40"/>
      <x:c r="N311" s="37" t="str"/>
    </x:row>
    <x:row r="312" ht="44" customHeight="1">
      <x:c r="A312" s="18" t="str">
        <x:v>P9-27</x:v>
      </x:c>
      <x:c r="B312" s="18" t="str">
        <x:v>Phase 9 - Clustering</x:v>
      </x:c>
      <x:c r="C312" s="18" t="str">
        <x:v>DWH integration</x:v>
      </x:c>
      <x:c r="D312" s="37" t="str">
        <x:v>Ghi cluster assignment vào table/mart phục vụ dashboard</x:v>
      </x:c>
      <x:c r="E312" s="38" t="str">
        <x:v>A</x:v>
      </x:c>
      <x:c r="F312" s="38" t="str">
        <x:v>B</x:v>
      </x:c>
      <x:c r="G312" s="37" t="str">
        <x:v>P9-19</x:v>
      </x:c>
      <x:c r="H312" s="37" t="str">
        <x:v>Dashboard đọc kết quả không cần chạy lại model</x:v>
      </x:c>
      <x:c r="I312" s="38" t="str">
        <x:v>P1</x:v>
      </x:c>
      <x:c r="J312" s="38" t="str">
        <x:v>TODO</x:v>
      </x:c>
      <x:c r="K312" s="39" t="n">
        <x:f>IF(J312="DONE",1,IF(J312="REVIEW",0.8,IF(J312="DOING",0.5,0)))</x:f>
        <x:v>0</x:v>
      </x:c>
      <x:c r="L312" s="40"/>
      <x:c r="M312" s="40"/>
      <x:c r="N312" s="37" t="str"/>
    </x:row>
    <x:row r="313" ht="44" customHeight="1">
      <x:c r="A313" s="18" t="str">
        <x:v>P9-28</x:v>
      </x:c>
      <x:c r="B313" s="18" t="str">
        <x:v>Phase 9 - Clustering</x:v>
      </x:c>
      <x:c r="C313" s="18" t="str">
        <x:v>Reproducibility</x:v>
      </x:c>
      <x:c r="D313" s="37" t="str">
        <x:v>Thành viên A chạy lại feature → cluster assignment</x:v>
      </x:c>
      <x:c r="E313" s="38" t="str">
        <x:v>A</x:v>
      </x:c>
      <x:c r="F313" s="38" t="str">
        <x:v>B</x:v>
      </x:c>
      <x:c r="G313" s="37" t="str">
        <x:v>P9-26</x:v>
      </x:c>
      <x:c r="H313" s="37" t="str">
        <x:v>Kết quả tái tạo đúng từ repo</x:v>
      </x:c>
      <x:c r="I313" s="38" t="str">
        <x:v>P1</x:v>
      </x:c>
      <x:c r="J313" s="38" t="str">
        <x:v>TODO</x:v>
      </x:c>
      <x:c r="K313" s="39" t="n">
        <x:f>IF(J313="DONE",1,IF(J313="REVIEW",0.8,IF(J313="DOING",0.5,0)))</x:f>
        <x:v>0</x:v>
      </x:c>
      <x:c r="L313" s="40"/>
      <x:c r="M313" s="40"/>
      <x:c r="N313" s="37" t="str"/>
    </x:row>
    <x:row r="314" ht="44" customHeight="1">
      <x:c r="A314" s="18" t="str">
        <x:v>P9-29</x:v>
      </x:c>
      <x:c r="B314" s="18" t="str">
        <x:v>Phase 9 - Clustering</x:v>
      </x:c>
      <x:c r="C314" s="18" t="str">
        <x:v>Documentation</x:v>
      </x:c>
      <x:c r="D314" s="37" t="str">
        <x:v>Viết methodology, limitations và interpretation</x:v>
      </x:c>
      <x:c r="E314" s="38" t="str">
        <x:v>B</x:v>
      </x:c>
      <x:c r="F314" s="38" t="str">
        <x:v>A</x:v>
      </x:c>
      <x:c r="G314" s="37" t="str">
        <x:v>P9-17 đến P9-28</x:v>
      </x:c>
      <x:c r="H314" s="37" t="str">
        <x:v>Nêu rõ chỉ có 12 station và không suy diễn địa lý quá mức</x:v>
      </x:c>
      <x:c r="I314" s="38" t="str">
        <x:v>P0</x:v>
      </x:c>
      <x:c r="J314" s="38" t="str">
        <x:v>TODO</x:v>
      </x:c>
      <x:c r="K314" s="39" t="n">
        <x:f>IF(J314="DONE",1,IF(J314="REVIEW",0.8,IF(J314="DOING",0.5,0)))</x:f>
        <x:v>0</x:v>
      </x:c>
      <x:c r="L314" s="40"/>
      <x:c r="M314" s="40"/>
      <x:c r="N314" s="37" t="str"/>
    </x:row>
    <x:row r="315" ht="44" customHeight="1">
      <x:c r="A315" s="18" t="str">
        <x:v>P9-30</x:v>
      </x:c>
      <x:c r="B315" s="18" t="str">
        <x:v>Phase 9 - Clustering</x:v>
      </x:c>
      <x:c r="C315" s="18" t="str">
        <x:v>Checkpoint</x:v>
      </x:c>
      <x:c r="D315" s="37" t="str">
        <x:v>Cập nhật PROGRESS.md và lưu evidence Phase 9</x:v>
      </x:c>
      <x:c r="E315" s="38" t="str">
        <x:v>A+B</x:v>
      </x:c>
      <x:c r="F315" s="38" t="str">
        <x:v>A+B</x:v>
      </x:c>
      <x:c r="G315" s="37" t="str">
        <x:v>P9-29</x:v>
      </x:c>
      <x:c r="H315" s="37" t="str">
        <x:v>Assignment, profiles, plots và quyết định k được review</x:v>
      </x:c>
      <x:c r="I315" s="38" t="str">
        <x:v>P0</x:v>
      </x:c>
      <x:c r="J315" s="38" t="str">
        <x:v>TODO</x:v>
      </x:c>
      <x:c r="K315" s="39" t="n">
        <x:f>IF(J315="DONE",1,IF(J315="REVIEW",0.8,IF(J315="DOING",0.5,0)))</x:f>
        <x:v>0</x:v>
      </x:c>
      <x:c r="L315" s="40"/>
      <x:c r="M315" s="40"/>
      <x:c r="N315" s="37" t="str"/>
    </x:row>
    <x:row r="316" ht="44" customHeight="1">
      <x:c r="A316" s="18" t="str">
        <x:v>P10-01</x:v>
      </x:c>
      <x:c r="B316" s="18" t="str">
        <x:v>Phase 10 - Forecasting</x:v>
      </x:c>
      <x:c r="C316" s="18" t="str">
        <x:v>Điều kiện đầu vào</x:v>
      </x:c>
      <x:c r="D316" s="37" t="str">
        <x:v>Xác nhận EDA, DWH và target PM2.5 đã sẵn sàng</x:v>
      </x:c>
      <x:c r="E316" s="38" t="str">
        <x:v>A+B</x:v>
      </x:c>
      <x:c r="F316" s="38" t="str">
        <x:v>A+B</x:v>
      </x:c>
      <x:c r="G316" s="37" t="str">
        <x:v>P8-30, P7-40</x:v>
      </x:c>
      <x:c r="H316" s="37" t="str">
        <x:v>Forecast dataset lấy từ DWH và data issues đã biết</x:v>
      </x:c>
      <x:c r="I316" s="38" t="str">
        <x:v>P0</x:v>
      </x:c>
      <x:c r="J316" s="38" t="str">
        <x:v>TODO</x:v>
      </x:c>
      <x:c r="K316" s="39" t="n">
        <x:f>IF(J316="DONE",1,IF(J316="REVIEW",0.8,IF(J316="DOING",0.5,0)))</x:f>
        <x:v>0</x:v>
      </x:c>
      <x:c r="L316" s="40"/>
      <x:c r="M316" s="40"/>
      <x:c r="N316" s="37" t="str"/>
    </x:row>
    <x:row r="317" ht="44" customHeight="1">
      <x:c r="A317" s="18" t="str">
        <x:v>P10-02</x:v>
      </x:c>
      <x:c r="B317" s="18" t="str">
        <x:v>Phase 10 - Forecasting</x:v>
      </x:c>
      <x:c r="C317" s="18" t="str">
        <x:v>Problem definition</x:v>
      </x:c>
      <x:c r="D317" s="37" t="str">
        <x:v>Chốt target PM2.5(t+1h)</x:v>
      </x:c>
      <x:c r="E317" s="38" t="str">
        <x:v>A+B</x:v>
      </x:c>
      <x:c r="F317" s="38" t="str">
        <x:v>A+B</x:v>
      </x:c>
      <x:c r="G317" s="37" t="str">
        <x:v>P10-01</x:v>
      </x:c>
      <x:c r="H317" s="37" t="str">
        <x:v>Prediction time, horizon và target timestamp được document</x:v>
      </x:c>
      <x:c r="I317" s="38" t="str">
        <x:v>P0</x:v>
      </x:c>
      <x:c r="J317" s="38" t="str">
        <x:v>TODO</x:v>
      </x:c>
      <x:c r="K317" s="39" t="n">
        <x:f>IF(J317="DONE",1,IF(J317="REVIEW",0.8,IF(J317="DOING",0.5,0)))</x:f>
        <x:v>0</x:v>
      </x:c>
      <x:c r="L317" s="40"/>
      <x:c r="M317" s="40"/>
      <x:c r="N317" s="37" t="str"/>
    </x:row>
    <x:row r="318" ht="44" customHeight="1">
      <x:c r="A318" s="18" t="str">
        <x:v>P10-03</x:v>
      </x:c>
      <x:c r="B318" s="18" t="str">
        <x:v>Phase 10 - Forecasting</x:v>
      </x:c>
      <x:c r="C318" s="18" t="str">
        <x:v>Scope</x:v>
      </x:c>
      <x:c r="D318" s="37" t="str">
        <x:v>Chọn global model cho 12 station làm hướng chính</x:v>
      </x:c>
      <x:c r="E318" s="38" t="str">
        <x:v>A+B</x:v>
      </x:c>
      <x:c r="F318" s="38" t="str">
        <x:v>A+B</x:v>
      </x:c>
      <x:c r="G318" s="37" t="str">
        <x:v>P10-02</x:v>
      </x:c>
      <x:c r="H318" s="37" t="str">
        <x:v>Không train 12 model riêng ngay từ đầu</x:v>
      </x:c>
      <x:c r="I318" s="38" t="str">
        <x:v>P0</x:v>
      </x:c>
      <x:c r="J318" s="38" t="str">
        <x:v>TODO</x:v>
      </x:c>
      <x:c r="K318" s="39" t="n">
        <x:f>IF(J318="DONE",1,IF(J318="REVIEW",0.8,IF(J318="DOING",0.5,0)))</x:f>
        <x:v>0</x:v>
      </x:c>
      <x:c r="L318" s="40"/>
      <x:c r="M318" s="40"/>
      <x:c r="N318" s="37" t="str"/>
    </x:row>
    <x:row r="319" ht="44" customHeight="1">
      <x:c r="A319" s="18" t="str">
        <x:v>P10-04</x:v>
      </x:c>
      <x:c r="B319" s="18" t="str">
        <x:v>Phase 10 - Forecasting</x:v>
      </x:c>
      <x:c r="C319" s="18" t="str">
        <x:v>Analytical query</x:v>
      </x:c>
      <x:c r="D319" s="37" t="str">
        <x:v>Viết query lấy hourly modeling dataset từ DWH</x:v>
      </x:c>
      <x:c r="E319" s="38" t="str">
        <x:v>B</x:v>
      </x:c>
      <x:c r="F319" s="38" t="str">
        <x:v>A</x:v>
      </x:c>
      <x:c r="G319" s="37" t="str">
        <x:v>P10-01</x:v>
      </x:c>
      <x:c r="H319" s="37" t="str">
        <x:v>Đủ station, time, PM2.5, pollutant và weather cần thiết</x:v>
      </x:c>
      <x:c r="I319" s="38" t="str">
        <x:v>P0</x:v>
      </x:c>
      <x:c r="J319" s="38" t="str">
        <x:v>TODO</x:v>
      </x:c>
      <x:c r="K319" s="39" t="n">
        <x:f>IF(J319="DONE",1,IF(J319="REVIEW",0.8,IF(J319="DOING",0.5,0)))</x:f>
        <x:v>0</x:v>
      </x:c>
      <x:c r="L319" s="40"/>
      <x:c r="M319" s="40"/>
      <x:c r="N319" s="37" t="str"/>
    </x:row>
    <x:row r="320" ht="44" customHeight="1">
      <x:c r="A320" s="18" t="str">
        <x:v>P10-05</x:v>
      </x:c>
      <x:c r="B320" s="18" t="str">
        <x:v>Phase 10 - Forecasting</x:v>
      </x:c>
      <x:c r="C320" s="18" t="str">
        <x:v>Ordering</x:v>
      </x:c>
      <x:c r="D320" s="37" t="str">
        <x:v>Sort dữ liệu theo station và event_time</x:v>
      </x:c>
      <x:c r="E320" s="38" t="str">
        <x:v>B</x:v>
      </x:c>
      <x:c r="F320" s="38" t="str">
        <x:v>A</x:v>
      </x:c>
      <x:c r="G320" s="37" t="str">
        <x:v>P10-04</x:v>
      </x:c>
      <x:c r="H320" s="37" t="str">
        <x:v>Mỗi station có time order rõ trước shift/rolling</x:v>
      </x:c>
      <x:c r="I320" s="38" t="str">
        <x:v>P0</x:v>
      </x:c>
      <x:c r="J320" s="38" t="str">
        <x:v>TODO</x:v>
      </x:c>
      <x:c r="K320" s="39" t="n">
        <x:f>IF(J320="DONE",1,IF(J320="REVIEW",0.8,IF(J320="DOING",0.5,0)))</x:f>
        <x:v>0</x:v>
      </x:c>
      <x:c r="L320" s="40"/>
      <x:c r="M320" s="40"/>
      <x:c r="N320" s="37" t="str"/>
    </x:row>
    <x:row r="321" ht="44" customHeight="1">
      <x:c r="A321" s="18" t="str">
        <x:v>P10-06</x:v>
      </x:c>
      <x:c r="B321" s="18" t="str">
        <x:v>Phase 10 - Forecasting</x:v>
      </x:c>
      <x:c r="C321" s="18" t="str">
        <x:v>Target creation</x:v>
      </x:c>
      <x:c r="D321" s="37" t="str">
        <x:v>Tạo target bằng shift(-1) trong từng station</x:v>
      </x:c>
      <x:c r="E321" s="38" t="str">
        <x:v>B</x:v>
      </x:c>
      <x:c r="F321" s="38" t="str">
        <x:v>A</x:v>
      </x:c>
      <x:c r="G321" s="37" t="str">
        <x:v>P10-05</x:v>
      </x:c>
      <x:c r="H321" s="37" t="str">
        <x:v>Target là PM2.5 giờ kế tiếp cùng station</x:v>
      </x:c>
      <x:c r="I321" s="38" t="str">
        <x:v>P0</x:v>
      </x:c>
      <x:c r="J321" s="38" t="str">
        <x:v>TODO</x:v>
      </x:c>
      <x:c r="K321" s="39" t="n">
        <x:f>IF(J321="DONE",1,IF(J321="REVIEW",0.8,IF(J321="DOING",0.5,0)))</x:f>
        <x:v>0</x:v>
      </x:c>
      <x:c r="L321" s="40"/>
      <x:c r="M321" s="40"/>
      <x:c r="N321" s="37" t="str"/>
    </x:row>
    <x:row r="322" ht="44" customHeight="1">
      <x:c r="A322" s="18" t="str">
        <x:v>P10-07</x:v>
      </x:c>
      <x:c r="B322" s="18" t="str">
        <x:v>Phase 10 - Forecasting</x:v>
      </x:c>
      <x:c r="C322" s="18" t="str">
        <x:v>Continuity check</x:v>
      </x:c>
      <x:c r="D322" s="37" t="str">
        <x:v>Loại/flag pair t→t+1 không liên tục đúng 1 giờ</x:v>
      </x:c>
      <x:c r="E322" s="38" t="str">
        <x:v>A</x:v>
      </x:c>
      <x:c r="F322" s="38" t="str">
        <x:v>B</x:v>
      </x:c>
      <x:c r="G322" s="37" t="str">
        <x:v>P10-06</x:v>
      </x:c>
      <x:c r="H322" s="37" t="str">
        <x:v>Không ghép target qua gap thời gian</x:v>
      </x:c>
      <x:c r="I322" s="38" t="str">
        <x:v>P0</x:v>
      </x:c>
      <x:c r="J322" s="38" t="str">
        <x:v>TODO</x:v>
      </x:c>
      <x:c r="K322" s="39" t="n">
        <x:f>IF(J322="DONE",1,IF(J322="REVIEW",0.8,IF(J322="DOING",0.5,0)))</x:f>
        <x:v>0</x:v>
      </x:c>
      <x:c r="L322" s="40"/>
      <x:c r="M322" s="40"/>
      <x:c r="N322" s="37" t="str"/>
    </x:row>
    <x:row r="323" ht="44" customHeight="1">
      <x:c r="A323" s="18" t="str">
        <x:v>P10-08</x:v>
      </x:c>
      <x:c r="B323" s="18" t="str">
        <x:v>Phase 10 - Forecasting</x:v>
      </x:c>
      <x:c r="C323" s="18" t="str">
        <x:v>Ground truth</x:v>
      </x:c>
      <x:c r="D323" s="37" t="str">
        <x:v>Loại target missing khỏi evaluation dataset</x:v>
      </x:c>
      <x:c r="E323" s="38" t="str">
        <x:v>A+B</x:v>
      </x:c>
      <x:c r="F323" s="38" t="str">
        <x:v>A+B</x:v>
      </x:c>
      <x:c r="G323" s="37" t="str">
        <x:v>P10-06, P10-07</x:v>
      </x:c>
      <x:c r="H323" s="37" t="str">
        <x:v>Không dùng target do interpolation làm ground truth</x:v>
      </x:c>
      <x:c r="I323" s="38" t="str">
        <x:v>P0</x:v>
      </x:c>
      <x:c r="J323" s="38" t="str">
        <x:v>TODO</x:v>
      </x:c>
      <x:c r="K323" s="39" t="n">
        <x:f>IF(J323="DONE",1,IF(J323="REVIEW",0.8,IF(J323="DOING",0.5,0)))</x:f>
        <x:v>0</x:v>
      </x:c>
      <x:c r="L323" s="40"/>
      <x:c r="M323" s="40"/>
      <x:c r="N323" s="37" t="str"/>
    </x:row>
    <x:row r="324" ht="44" customHeight="1">
      <x:c r="A324" s="18" t="str">
        <x:v>P10-09</x:v>
      </x:c>
      <x:c r="B324" s="18" t="str">
        <x:v>Phase 10 - Forecasting</x:v>
      </x:c>
      <x:c r="C324" s="18" t="str">
        <x:v>Leakage audit</x:v>
      </x:c>
      <x:c r="D324" s="37" t="str">
        <x:v>Lập bảng feature availability tại prediction time</x:v>
      </x:c>
      <x:c r="E324" s="38" t="str">
        <x:v>A+B</x:v>
      </x:c>
      <x:c r="F324" s="38" t="str">
        <x:v>A+B</x:v>
      </x:c>
      <x:c r="G324" s="37" t="str">
        <x:v>P10-02, P10-04</x:v>
      </x:c>
      <x:c r="H324" s="37" t="str">
        <x:v>Mỗi feature ghi available/unknown/future</x:v>
      </x:c>
      <x:c r="I324" s="38" t="str">
        <x:v>P0</x:v>
      </x:c>
      <x:c r="J324" s="38" t="str">
        <x:v>TODO</x:v>
      </x:c>
      <x:c r="K324" s="39" t="n">
        <x:f>IF(J324="DONE",1,IF(J324="REVIEW",0.8,IF(J324="DOING",0.5,0)))</x:f>
        <x:v>0</x:v>
      </x:c>
      <x:c r="L324" s="40"/>
      <x:c r="M324" s="40"/>
      <x:c r="N324" s="37" t="str"/>
    </x:row>
    <x:row r="325" ht="44" customHeight="1">
      <x:c r="A325" s="18" t="str">
        <x:v>P10-10</x:v>
      </x:c>
      <x:c r="B325" s="18" t="str">
        <x:v>Phase 10 - Forecasting</x:v>
      </x:c>
      <x:c r="C325" s="18" t="str">
        <x:v>Leakage audit</x:v>
      </x:c>
      <x:c r="D325" s="37" t="str">
        <x:v>Loại feature dùng thông tin sau thời điểm t</x:v>
      </x:c>
      <x:c r="E325" s="38" t="str">
        <x:v>A+B</x:v>
      </x:c>
      <x:c r="F325" s="38" t="str">
        <x:v>A+B</x:v>
      </x:c>
      <x:c r="G325" s="37" t="str">
        <x:v>P10-09</x:v>
      </x:c>
      <x:c r="H325" s="37" t="str">
        <x:v>Không có target-derived hoặc future weather không được giả định</x:v>
      </x:c>
      <x:c r="I325" s="38" t="str">
        <x:v>P0</x:v>
      </x:c>
      <x:c r="J325" s="38" t="str">
        <x:v>TODO</x:v>
      </x:c>
      <x:c r="K325" s="39" t="n">
        <x:f>IF(J325="DONE",1,IF(J325="REVIEW",0.8,IF(J325="DOING",0.5,0)))</x:f>
        <x:v>0</x:v>
      </x:c>
      <x:c r="L325" s="40"/>
      <x:c r="M325" s="40"/>
      <x:c r="N325" s="37" t="str"/>
    </x:row>
    <x:row r="326" ht="44" customHeight="1">
      <x:c r="A326" s="18" t="str">
        <x:v>P10-11</x:v>
      </x:c>
      <x:c r="B326" s="18" t="str">
        <x:v>Phase 10 - Forecasting</x:v>
      </x:c>
      <x:c r="C326" s="18" t="str">
        <x:v>Time features</x:v>
      </x:c>
      <x:c r="D326" s="37" t="str">
        <x:v>Tạo hour, day_of_week, month và season</x:v>
      </x:c>
      <x:c r="E326" s="38" t="str">
        <x:v>B</x:v>
      </x:c>
      <x:c r="F326" s="38" t="str">
        <x:v>A</x:v>
      </x:c>
      <x:c r="G326" s="37" t="str">
        <x:v>P10-05</x:v>
      </x:c>
      <x:c r="H326" s="37" t="str">
        <x:v>Feature tính từ event_time t</x:v>
      </x:c>
      <x:c r="I326" s="38" t="str">
        <x:v>P1</x:v>
      </x:c>
      <x:c r="J326" s="38" t="str">
        <x:v>TODO</x:v>
      </x:c>
      <x:c r="K326" s="39" t="n">
        <x:f>IF(J326="DONE",1,IF(J326="REVIEW",0.8,IF(J326="DOING",0.5,0)))</x:f>
        <x:v>0</x:v>
      </x:c>
      <x:c r="L326" s="40"/>
      <x:c r="M326" s="40"/>
      <x:c r="N326" s="37" t="str"/>
    </x:row>
    <x:row r="327" ht="44" customHeight="1">
      <x:c r="A327" s="18" t="str">
        <x:v>P10-12</x:v>
      </x:c>
      <x:c r="B327" s="18" t="str">
        <x:v>Phase 10 - Forecasting</x:v>
      </x:c>
      <x:c r="C327" s="18" t="str">
        <x:v>Station feature</x:v>
      </x:c>
      <x:c r="D327" s="37" t="str">
        <x:v>Encode station cho global model</x:v>
      </x:c>
      <x:c r="E327" s="38" t="str">
        <x:v>B</x:v>
      </x:c>
      <x:c r="F327" s="38" t="str">
        <x:v>A</x:v>
      </x:c>
      <x:c r="G327" s="37" t="str">
        <x:v>P10-03</x:v>
      </x:c>
      <x:c r="H327" s="37" t="str">
        <x:v>Encoding fit trong train pipeline và xử lý category rõ</x:v>
      </x:c>
      <x:c r="I327" s="38" t="str">
        <x:v>P0</x:v>
      </x:c>
      <x:c r="J327" s="38" t="str">
        <x:v>TODO</x:v>
      </x:c>
      <x:c r="K327" s="39" t="n">
        <x:f>IF(J327="DONE",1,IF(J327="REVIEW",0.8,IF(J327="DOING",0.5,0)))</x:f>
        <x:v>0</x:v>
      </x:c>
      <x:c r="L327" s="40"/>
      <x:c r="M327" s="40"/>
      <x:c r="N327" s="37" t="str"/>
    </x:row>
    <x:row r="328" ht="44" customHeight="1">
      <x:c r="A328" s="18" t="str">
        <x:v>P10-13</x:v>
      </x:c>
      <x:c r="B328" s="18" t="str">
        <x:v>Phase 10 - Forecasting</x:v>
      </x:c>
      <x:c r="C328" s="18" t="str">
        <x:v>Lag features</x:v>
      </x:c>
      <x:c r="D328" s="37" t="str">
        <x:v>Tạo PM2.5 lag 1, 2, 3 giờ theo station</x:v>
      </x:c>
      <x:c r="E328" s="38" t="str">
        <x:v>B</x:v>
      </x:c>
      <x:c r="F328" s="38" t="str">
        <x:v>A</x:v>
      </x:c>
      <x:c r="G328" s="37" t="str">
        <x:v>P10-05</x:v>
      </x:c>
      <x:c r="H328" s="37" t="str">
        <x:v>Lag không vượt qua station boundary hoặc time gap</x:v>
      </x:c>
      <x:c r="I328" s="38" t="str">
        <x:v>P0</x:v>
      </x:c>
      <x:c r="J328" s="38" t="str">
        <x:v>TODO</x:v>
      </x:c>
      <x:c r="K328" s="39" t="n">
        <x:f>IF(J328="DONE",1,IF(J328="REVIEW",0.8,IF(J328="DOING",0.5,0)))</x:f>
        <x:v>0</x:v>
      </x:c>
      <x:c r="L328" s="40"/>
      <x:c r="M328" s="40"/>
      <x:c r="N328" s="37" t="str"/>
    </x:row>
    <x:row r="329" ht="44" customHeight="1">
      <x:c r="A329" s="18" t="str">
        <x:v>P10-14</x:v>
      </x:c>
      <x:c r="B329" s="18" t="str">
        <x:v>Phase 10 - Forecasting</x:v>
      </x:c>
      <x:c r="C329" s="18" t="str">
        <x:v>Lag features</x:v>
      </x:c>
      <x:c r="D329" s="37" t="str">
        <x:v>Đánh giá thêm lag 6, 12, 24 giờ nếu EDA hỗ trợ</x:v>
      </x:c>
      <x:c r="E329" s="38" t="str">
        <x:v>B</x:v>
      </x:c>
      <x:c r="F329" s="38" t="str">
        <x:v>A</x:v>
      </x:c>
      <x:c r="G329" s="37" t="str">
        <x:v>P8-28, P10-13</x:v>
      </x:c>
      <x:c r="H329" s="37" t="str">
        <x:v>Chỉ giữ lag có lý do và coverage đủ</x:v>
      </x:c>
      <x:c r="I329" s="38" t="str">
        <x:v>P1</x:v>
      </x:c>
      <x:c r="J329" s="38" t="str">
        <x:v>TODO</x:v>
      </x:c>
      <x:c r="K329" s="39" t="n">
        <x:f>IF(J329="DONE",1,IF(J329="REVIEW",0.8,IF(J329="DOING",0.5,0)))</x:f>
        <x:v>0</x:v>
      </x:c>
      <x:c r="L329" s="40"/>
      <x:c r="M329" s="40"/>
      <x:c r="N329" s="37" t="str"/>
    </x:row>
    <x:row r="330" ht="44" customHeight="1">
      <x:c r="A330" s="18" t="str">
        <x:v>P10-15</x:v>
      </x:c>
      <x:c r="B330" s="18" t="str">
        <x:v>Phase 10 - Forecasting</x:v>
      </x:c>
      <x:c r="C330" s="18" t="str">
        <x:v>Pollutant features</x:v>
      </x:c>
      <x:c r="D330" s="37" t="str">
        <x:v>Tạo pollutant lag nếu available và có ích</x:v>
      </x:c>
      <x:c r="E330" s="38" t="str">
        <x:v>B</x:v>
      </x:c>
      <x:c r="F330" s="38" t="str">
        <x:v>A</x:v>
      </x:c>
      <x:c r="G330" s="37" t="str">
        <x:v>P10-09, P8-28</x:v>
      </x:c>
      <x:c r="H330" s="37" t="str">
        <x:v>Không dùng pollutant t+1 để dự đoán PM2.5 t+1</x:v>
      </x:c>
      <x:c r="I330" s="38" t="str">
        <x:v>P1</x:v>
      </x:c>
      <x:c r="J330" s="38" t="str">
        <x:v>TODO</x:v>
      </x:c>
      <x:c r="K330" s="39" t="n">
        <x:f>IF(J330="DONE",1,IF(J330="REVIEW",0.8,IF(J330="DOING",0.5,0)))</x:f>
        <x:v>0</x:v>
      </x:c>
      <x:c r="L330" s="40"/>
      <x:c r="M330" s="40"/>
      <x:c r="N330" s="37" t="str"/>
    </x:row>
    <x:row r="331" ht="44" customHeight="1">
      <x:c r="A331" s="18" t="str">
        <x:v>P10-16</x:v>
      </x:c>
      <x:c r="B331" s="18" t="str">
        <x:v>Phase 10 - Forecasting</x:v>
      </x:c>
      <x:c r="C331" s="18" t="str">
        <x:v>Weather features</x:v>
      </x:c>
      <x:c r="D331" s="37" t="str">
        <x:v>Chọn weather tại t theo availability policy</x:v>
      </x:c>
      <x:c r="E331" s="38" t="str">
        <x:v>A+B</x:v>
      </x:c>
      <x:c r="F331" s="38" t="str">
        <x:v>A+B</x:v>
      </x:c>
      <x:c r="G331" s="37" t="str">
        <x:v>P10-09, P8-28</x:v>
      </x:c>
      <x:c r="H331" s="37" t="str">
        <x:v>Không gọi observed weather tương lai là known forecast</x:v>
      </x:c>
      <x:c r="I331" s="38" t="str">
        <x:v>P0</x:v>
      </x:c>
      <x:c r="J331" s="38" t="str">
        <x:v>TODO</x:v>
      </x:c>
      <x:c r="K331" s="39" t="n">
        <x:f>IF(J331="DONE",1,IF(J331="REVIEW",0.8,IF(J331="DOING",0.5,0)))</x:f>
        <x:v>0</x:v>
      </x:c>
      <x:c r="L331" s="40"/>
      <x:c r="M331" s="40"/>
      <x:c r="N331" s="37" t="str"/>
    </x:row>
    <x:row r="332" ht="44" customHeight="1">
      <x:c r="A332" s="18" t="str">
        <x:v>P10-17</x:v>
      </x:c>
      <x:c r="B332" s="18" t="str">
        <x:v>Phase 10 - Forecasting</x:v>
      </x:c>
      <x:c r="C332" s="18" t="str">
        <x:v>Rolling features</x:v>
      </x:c>
      <x:c r="D332" s="37" t="str">
        <x:v>Tạo rolling mean/std dùng dữ liệu đến thời điểm t</x:v>
      </x:c>
      <x:c r="E332" s="38" t="str">
        <x:v>B</x:v>
      </x:c>
      <x:c r="F332" s="38" t="str">
        <x:v>A</x:v>
      </x:c>
      <x:c r="G332" s="37" t="str">
        <x:v>P10-13</x:v>
      </x:c>
      <x:c r="H332" s="37" t="str">
        <x:v>Window được shift đúng; không chứa target tương lai</x:v>
      </x:c>
      <x:c r="I332" s="38" t="str">
        <x:v>P0</x:v>
      </x:c>
      <x:c r="J332" s="38" t="str">
        <x:v>TODO</x:v>
      </x:c>
      <x:c r="K332" s="39" t="n">
        <x:f>IF(J332="DONE",1,IF(J332="REVIEW",0.8,IF(J332="DOING",0.5,0)))</x:f>
        <x:v>0</x:v>
      </x:c>
      <x:c r="L332" s="40"/>
      <x:c r="M332" s="40"/>
      <x:c r="N332" s="37" t="str"/>
    </x:row>
    <x:row r="333" ht="44" customHeight="1">
      <x:c r="A333" s="18" t="str">
        <x:v>P10-18</x:v>
      </x:c>
      <x:c r="B333" s="18" t="str">
        <x:v>Phase 10 - Forecasting</x:v>
      </x:c>
      <x:c r="C333" s="18" t="str">
        <x:v>Feature tests</x:v>
      </x:c>
      <x:c r="D333" s="37" t="str">
        <x:v>Test lag và rolling trên chuỗi nhỏ tính tay được</x:v>
      </x:c>
      <x:c r="E333" s="38" t="str">
        <x:v>A</x:v>
      </x:c>
      <x:c r="F333" s="38" t="str">
        <x:v>B</x:v>
      </x:c>
      <x:c r="G333" s="37" t="str">
        <x:v>P10-13 đến P10-17</x:v>
      </x:c>
      <x:c r="H333" s="37" t="str">
        <x:v>Giá trị đầu/cuối window và gap đúng</x:v>
      </x:c>
      <x:c r="I333" s="38" t="str">
        <x:v>P0</x:v>
      </x:c>
      <x:c r="J333" s="38" t="str">
        <x:v>TODO</x:v>
      </x:c>
      <x:c r="K333" s="39" t="n">
        <x:f>IF(J333="DONE",1,IF(J333="REVIEW",0.8,IF(J333="DOING",0.5,0)))</x:f>
        <x:v>0</x:v>
      </x:c>
      <x:c r="L333" s="40"/>
      <x:c r="M333" s="40"/>
      <x:c r="N333" s="37" t="str"/>
    </x:row>
    <x:row r="334" ht="44" customHeight="1">
      <x:c r="A334" s="18" t="str">
        <x:v>P10-19</x:v>
      </x:c>
      <x:c r="B334" s="18" t="str">
        <x:v>Phase 10 - Forecasting</x:v>
      </x:c>
      <x:c r="C334" s="18" t="str">
        <x:v>Missing strategy</x:v>
      </x:c>
      <x:c r="D334" s="37" t="str">
        <x:v>Profile missing sau feature engineering</x:v>
      </x:c>
      <x:c r="E334" s="38" t="str">
        <x:v>A</x:v>
      </x:c>
      <x:c r="F334" s="38" t="str">
        <x:v>B</x:v>
      </x:c>
      <x:c r="G334" s="37" t="str">
        <x:v>P10-11 đến P10-17</x:v>
      </x:c>
      <x:c r="H334" s="37" t="str">
        <x:v>Biết số row mất do lag, rolling và source missing</x:v>
      </x:c>
      <x:c r="I334" s="38" t="str">
        <x:v>P0</x:v>
      </x:c>
      <x:c r="J334" s="38" t="str">
        <x:v>TODO</x:v>
      </x:c>
      <x:c r="K334" s="39" t="n">
        <x:f>IF(J334="DONE",1,IF(J334="REVIEW",0.8,IF(J334="DOING",0.5,0)))</x:f>
        <x:v>0</x:v>
      </x:c>
      <x:c r="L334" s="40"/>
      <x:c r="M334" s="40"/>
      <x:c r="N334" s="37" t="str"/>
    </x:row>
    <x:row r="335" ht="44" customHeight="1">
      <x:c r="A335" s="18" t="str">
        <x:v>P10-20</x:v>
      </x:c>
      <x:c r="B335" s="18" t="str">
        <x:v>Phase 10 - Forecasting</x:v>
      </x:c>
      <x:c r="C335" s="18" t="str">
        <x:v>Missing strategy</x:v>
      </x:c>
      <x:c r="D335" s="37" t="str">
        <x:v>Chốt imputation/drop policy theo từng feature</x:v>
      </x:c>
      <x:c r="E335" s="38" t="str">
        <x:v>A+B</x:v>
      </x:c>
      <x:c r="F335" s="38" t="str">
        <x:v>A+B</x:v>
      </x:c>
      <x:c r="G335" s="37" t="str">
        <x:v>P10-19</x:v>
      </x:c>
      <x:c r="H335" s="37" t="str">
        <x:v>Fit imputer chỉ trên train; target không được impute</x:v>
      </x:c>
      <x:c r="I335" s="38" t="str">
        <x:v>P0</x:v>
      </x:c>
      <x:c r="J335" s="38" t="str">
        <x:v>TODO</x:v>
      </x:c>
      <x:c r="K335" s="39" t="n">
        <x:f>IF(J335="DONE",1,IF(J335="REVIEW",0.8,IF(J335="DOING",0.5,0)))</x:f>
        <x:v>0</x:v>
      </x:c>
      <x:c r="L335" s="40"/>
      <x:c r="M335" s="40"/>
      <x:c r="N335" s="37" t="str"/>
    </x:row>
    <x:row r="336" ht="44" customHeight="1">
      <x:c r="A336" s="18" t="str">
        <x:v>P10-21</x:v>
      </x:c>
      <x:c r="B336" s="18" t="str">
        <x:v>Phase 10 - Forecasting</x:v>
      </x:c>
      <x:c r="C336" s="18" t="str">
        <x:v>Time split</x:v>
      </x:c>
      <x:c r="D336" s="37" t="str">
        <x:v>Chọn mốc Train, Validation và Test theo thời gian</x:v>
      </x:c>
      <x:c r="E336" s="38" t="str">
        <x:v>A+B</x:v>
      </x:c>
      <x:c r="F336" s="38" t="str">
        <x:v>A+B</x:v>
      </x:c>
      <x:c r="G336" s="37" t="str">
        <x:v>P10-07, P10-20</x:v>
      </x:c>
      <x:c r="H336" s="37" t="str">
        <x:v>Không random split; date ranges không overlap</x:v>
      </x:c>
      <x:c r="I336" s="38" t="str">
        <x:v>P0</x:v>
      </x:c>
      <x:c r="J336" s="38" t="str">
        <x:v>TODO</x:v>
      </x:c>
      <x:c r="K336" s="39" t="n">
        <x:f>IF(J336="DONE",1,IF(J336="REVIEW",0.8,IF(J336="DOING",0.5,0)))</x:f>
        <x:v>0</x:v>
      </x:c>
      <x:c r="L336" s="40"/>
      <x:c r="M336" s="40"/>
      <x:c r="N336" s="37" t="str"/>
    </x:row>
    <x:row r="337" ht="44" customHeight="1">
      <x:c r="A337" s="18" t="str">
        <x:v>P10-22</x:v>
      </x:c>
      <x:c r="B337" s="18" t="str">
        <x:v>Phase 10 - Forecasting</x:v>
      </x:c>
      <x:c r="C337" s="18" t="str">
        <x:v>Split validation</x:v>
      </x:c>
      <x:c r="D337" s="37" t="str">
        <x:v>Kiểm tra station coverage và target distribution mỗi split</x:v>
      </x:c>
      <x:c r="E337" s="38" t="str">
        <x:v>A</x:v>
      </x:c>
      <x:c r="F337" s="38" t="str">
        <x:v>B</x:v>
      </x:c>
      <x:c r="G337" s="37" t="str">
        <x:v>P10-21</x:v>
      </x:c>
      <x:c r="H337" s="37" t="str">
        <x:v>Biết station/giai đoạn nào thiếu và có drift không</x:v>
      </x:c>
      <x:c r="I337" s="38" t="str">
        <x:v>P0</x:v>
      </x:c>
      <x:c r="J337" s="38" t="str">
        <x:v>TODO</x:v>
      </x:c>
      <x:c r="K337" s="39" t="n">
        <x:f>IF(J337="DONE",1,IF(J337="REVIEW",0.8,IF(J337="DOING",0.5,0)))</x:f>
        <x:v>0</x:v>
      </x:c>
      <x:c r="L337" s="40"/>
      <x:c r="M337" s="40"/>
      <x:c r="N337" s="37" t="str"/>
    </x:row>
    <x:row r="338" ht="44" customHeight="1">
      <x:c r="A338" s="18" t="str">
        <x:v>P10-23</x:v>
      </x:c>
      <x:c r="B338" s="18" t="str">
        <x:v>Phase 10 - Forecasting</x:v>
      </x:c>
      <x:c r="C338" s="18" t="str">
        <x:v>Baseline</x:v>
      </x:c>
      <x:c r="D338" s="37" t="str">
        <x:v>Tạo persistence prediction y_hat(t+1)=PM2.5(t)</x:v>
      </x:c>
      <x:c r="E338" s="38" t="str">
        <x:v>B</x:v>
      </x:c>
      <x:c r="F338" s="38" t="str">
        <x:v>A</x:v>
      </x:c>
      <x:c r="G338" s="37" t="str">
        <x:v>P10-08, P10-21</x:v>
      </x:c>
      <x:c r="H338" s="37" t="str">
        <x:v>Baseline có prediction cho đúng test rows</x:v>
      </x:c>
      <x:c r="I338" s="38" t="str">
        <x:v>P0</x:v>
      </x:c>
      <x:c r="J338" s="38" t="str">
        <x:v>TODO</x:v>
      </x:c>
      <x:c r="K338" s="39" t="n">
        <x:f>IF(J338="DONE",1,IF(J338="REVIEW",0.8,IF(J338="DOING",0.5,0)))</x:f>
        <x:v>0</x:v>
      </x:c>
      <x:c r="L338" s="40"/>
      <x:c r="M338" s="40"/>
      <x:c r="N338" s="37" t="str"/>
    </x:row>
    <x:row r="339" ht="44" customHeight="1">
      <x:c r="A339" s="18" t="str">
        <x:v>P10-24</x:v>
      </x:c>
      <x:c r="B339" s="18" t="str">
        <x:v>Phase 10 - Forecasting</x:v>
      </x:c>
      <x:c r="C339" s="18" t="str">
        <x:v>Metrics</x:v>
      </x:c>
      <x:c r="D339" s="37" t="str">
        <x:v>Viết hàm MAE, RMSE và R²</x:v>
      </x:c>
      <x:c r="E339" s="38" t="str">
        <x:v>B</x:v>
      </x:c>
      <x:c r="F339" s="38" t="str">
        <x:v>A</x:v>
      </x:c>
      <x:c r="G339" s="37" t="str">
        <x:v>P10-23</x:v>
      </x:c>
      <x:c r="H339" s="37" t="str">
        <x:v>Metric tính trên cùng valid rows và unit rõ</x:v>
      </x:c>
      <x:c r="I339" s="38" t="str">
        <x:v>P0</x:v>
      </x:c>
      <x:c r="J339" s="38" t="str">
        <x:v>TODO</x:v>
      </x:c>
      <x:c r="K339" s="39" t="n">
        <x:f>IF(J339="DONE",1,IF(J339="REVIEW",0.8,IF(J339="DOING",0.5,0)))</x:f>
        <x:v>0</x:v>
      </x:c>
      <x:c r="L339" s="40"/>
      <x:c r="M339" s="40"/>
      <x:c r="N339" s="37" t="str"/>
    </x:row>
    <x:row r="340" ht="44" customHeight="1">
      <x:c r="A340" s="18" t="str">
        <x:v>P10-25</x:v>
      </x:c>
      <x:c r="B340" s="18" t="str">
        <x:v>Phase 10 - Forecasting</x:v>
      </x:c>
      <x:c r="C340" s="18" t="str">
        <x:v>Baseline evaluation</x:v>
      </x:c>
      <x:c r="D340" s="37" t="str">
        <x:v>Đánh giá persistence trên validation và test</x:v>
      </x:c>
      <x:c r="E340" s="38" t="str">
        <x:v>B</x:v>
      </x:c>
      <x:c r="F340" s="38" t="str">
        <x:v>A</x:v>
      </x:c>
      <x:c r="G340" s="37" t="str">
        <x:v>P10-23, P10-24</x:v>
      </x:c>
      <x:c r="H340" s="37" t="str">
        <x:v>Có overall và per-station metrics</x:v>
      </x:c>
      <x:c r="I340" s="38" t="str">
        <x:v>P0</x:v>
      </x:c>
      <x:c r="J340" s="38" t="str">
        <x:v>TODO</x:v>
      </x:c>
      <x:c r="K340" s="39" t="n">
        <x:f>IF(J340="DONE",1,IF(J340="REVIEW",0.8,IF(J340="DOING",0.5,0)))</x:f>
        <x:v>0</x:v>
      </x:c>
      <x:c r="L340" s="40"/>
      <x:c r="M340" s="40"/>
      <x:c r="N340" s="37" t="str"/>
    </x:row>
    <x:row r="341" ht="44" customHeight="1">
      <x:c r="A341" s="18" t="str">
        <x:v>P10-26</x:v>
      </x:c>
      <x:c r="B341" s="18" t="str">
        <x:v>Phase 10 - Forecasting</x:v>
      </x:c>
      <x:c r="C341" s="18" t="str">
        <x:v>Preprocessing pipeline</x:v>
      </x:c>
      <x:c r="D341" s="37" t="str">
        <x:v>Tạo pipeline encoding, scaling/imputation cần thiết</x:v>
      </x:c>
      <x:c r="E341" s="38" t="str">
        <x:v>B</x:v>
      </x:c>
      <x:c r="F341" s="38" t="str">
        <x:v>A</x:v>
      </x:c>
      <x:c r="G341" s="37" t="str">
        <x:v>P10-12, P10-20, P10-21</x:v>
      </x:c>
      <x:c r="H341" s="37" t="str">
        <x:v>Tất cả transformer fit trên train only</x:v>
      </x:c>
      <x:c r="I341" s="38" t="str">
        <x:v>P0</x:v>
      </x:c>
      <x:c r="J341" s="38" t="str">
        <x:v>TODO</x:v>
      </x:c>
      <x:c r="K341" s="39" t="n">
        <x:f>IF(J341="DONE",1,IF(J341="REVIEW",0.8,IF(J341="DOING",0.5,0)))</x:f>
        <x:v>0</x:v>
      </x:c>
      <x:c r="L341" s="40"/>
      <x:c r="M341" s="40"/>
      <x:c r="N341" s="37" t="str"/>
    </x:row>
    <x:row r="342" ht="44" customHeight="1">
      <x:c r="A342" s="18" t="str">
        <x:v>P10-27</x:v>
      </x:c>
      <x:c r="B342" s="18" t="str">
        <x:v>Phase 10 - Forecasting</x:v>
      </x:c>
      <x:c r="C342" s="18" t="str">
        <x:v>Model 1</x:v>
      </x:c>
      <x:c r="D342" s="37" t="str">
        <x:v>Train Linear Regression</x:v>
      </x:c>
      <x:c r="E342" s="38" t="str">
        <x:v>B</x:v>
      </x:c>
      <x:c r="F342" s="38" t="str">
        <x:v>A</x:v>
      </x:c>
      <x:c r="G342" s="37" t="str">
        <x:v>P10-26</x:v>
      </x:c>
      <x:c r="H342" s="37" t="str">
        <x:v>Model chạy và có validation metrics</x:v>
      </x:c>
      <x:c r="I342" s="38" t="str">
        <x:v>P0</x:v>
      </x:c>
      <x:c r="J342" s="38" t="str">
        <x:v>TODO</x:v>
      </x:c>
      <x:c r="K342" s="39" t="n">
        <x:f>IF(J342="DONE",1,IF(J342="REVIEW",0.8,IF(J342="DOING",0.5,0)))</x:f>
        <x:v>0</x:v>
      </x:c>
      <x:c r="L342" s="40"/>
      <x:c r="M342" s="40"/>
      <x:c r="N342" s="37" t="str"/>
    </x:row>
    <x:row r="343" ht="44" customHeight="1">
      <x:c r="A343" s="18" t="str">
        <x:v>P10-28</x:v>
      </x:c>
      <x:c r="B343" s="18" t="str">
        <x:v>Phase 10 - Forecasting</x:v>
      </x:c>
      <x:c r="C343" s="18" t="str">
        <x:v>Model 1 review</x:v>
      </x:c>
      <x:c r="D343" s="37" t="str">
        <x:v>Kiểm tra coefficient và prediction bất hợp lý</x:v>
      </x:c>
      <x:c r="E343" s="38" t="str">
        <x:v>A</x:v>
      </x:c>
      <x:c r="F343" s="38" t="str">
        <x:v>B</x:v>
      </x:c>
      <x:c r="G343" s="37" t="str">
        <x:v>P10-27</x:v>
      </x:c>
      <x:c r="H343" s="37" t="str">
        <x:v>Có nhận xét về giới hạn linear model</x:v>
      </x:c>
      <x:c r="I343" s="38" t="str">
        <x:v>P1</x:v>
      </x:c>
      <x:c r="J343" s="38" t="str">
        <x:v>TODO</x:v>
      </x:c>
      <x:c r="K343" s="39" t="n">
        <x:f>IF(J343="DONE",1,IF(J343="REVIEW",0.8,IF(J343="DOING",0.5,0)))</x:f>
        <x:v>0</x:v>
      </x:c>
      <x:c r="L343" s="40"/>
      <x:c r="M343" s="40"/>
      <x:c r="N343" s="37" t="str"/>
    </x:row>
    <x:row r="344" ht="44" customHeight="1">
      <x:c r="A344" s="18" t="str">
        <x:v>P10-29</x:v>
      </x:c>
      <x:c r="B344" s="18" t="str">
        <x:v>Phase 10 - Forecasting</x:v>
      </x:c>
      <x:c r="C344" s="18" t="str">
        <x:v>Model 2</x:v>
      </x:c>
      <x:c r="D344" s="37" t="str">
        <x:v>Train Random Forest với cấu hình cơ bản</x:v>
      </x:c>
      <x:c r="E344" s="38" t="str">
        <x:v>B</x:v>
      </x:c>
      <x:c r="F344" s="38" t="str">
        <x:v>A</x:v>
      </x:c>
      <x:c r="G344" s="37" t="str">
        <x:v>P10-26</x:v>
      </x:c>
      <x:c r="H344" s="37" t="str">
        <x:v>Model có validation metrics và random_state</x:v>
      </x:c>
      <x:c r="I344" s="38" t="str">
        <x:v>P0</x:v>
      </x:c>
      <x:c r="J344" s="38" t="str">
        <x:v>TODO</x:v>
      </x:c>
      <x:c r="K344" s="39" t="n">
        <x:f>IF(J344="DONE",1,IF(J344="REVIEW",0.8,IF(J344="DOING",0.5,0)))</x:f>
        <x:v>0</x:v>
      </x:c>
      <x:c r="L344" s="40"/>
      <x:c r="M344" s="40"/>
      <x:c r="N344" s="37" t="str"/>
    </x:row>
    <x:row r="345" ht="44" customHeight="1">
      <x:c r="A345" s="18" t="str">
        <x:v>P10-30</x:v>
      </x:c>
      <x:c r="B345" s="18" t="str">
        <x:v>Phase 10 - Forecasting</x:v>
      </x:c>
      <x:c r="C345" s="18" t="str">
        <x:v>Model 3</x:v>
      </x:c>
      <x:c r="D345" s="37" t="str">
        <x:v>Train Gradient Boosting với cấu hình cơ bản</x:v>
      </x:c>
      <x:c r="E345" s="38" t="str">
        <x:v>B</x:v>
      </x:c>
      <x:c r="F345" s="38" t="str">
        <x:v>A</x:v>
      </x:c>
      <x:c r="G345" s="37" t="str">
        <x:v>P10-26</x:v>
      </x:c>
      <x:c r="H345" s="37" t="str">
        <x:v>Model có validation metrics và random_state</x:v>
      </x:c>
      <x:c r="I345" s="38" t="str">
        <x:v>P1</x:v>
      </x:c>
      <x:c r="J345" s="38" t="str">
        <x:v>TODO</x:v>
      </x:c>
      <x:c r="K345" s="39" t="n">
        <x:f>IF(J345="DONE",1,IF(J345="REVIEW",0.8,IF(J345="DOING",0.5,0)))</x:f>
        <x:v>0</x:v>
      </x:c>
      <x:c r="L345" s="40"/>
      <x:c r="M345" s="40"/>
      <x:c r="N345" s="37" t="str"/>
    </x:row>
    <x:row r="346" ht="44" customHeight="1">
      <x:c r="A346" s="18" t="str">
        <x:v>P10-31</x:v>
      </x:c>
      <x:c r="B346" s="18" t="str">
        <x:v>Phase 10 - Forecasting</x:v>
      </x:c>
      <x:c r="C346" s="18" t="str">
        <x:v>Tuning</x:v>
      </x:c>
      <x:c r="D346" s="37" t="str">
        <x:v>Chọn search space nhỏ cho model tốt hơn</x:v>
      </x:c>
      <x:c r="E346" s="38" t="str">
        <x:v>B</x:v>
      </x:c>
      <x:c r="F346" s="38" t="str">
        <x:v>A</x:v>
      </x:c>
      <x:c r="G346" s="37" t="str">
        <x:v>P10-27 đến P10-30</x:v>
      </x:c>
      <x:c r="H346" s="37" t="str">
        <x:v>Không tuning quá rộng so với máy RTX 3050/CPU và thời gian nhóm</x:v>
      </x:c>
      <x:c r="I346" s="38" t="str">
        <x:v>P1</x:v>
      </x:c>
      <x:c r="J346" s="38" t="str">
        <x:v>TODO</x:v>
      </x:c>
      <x:c r="K346" s="39" t="n">
        <x:f>IF(J346="DONE",1,IF(J346="REVIEW",0.8,IF(J346="DOING",0.5,0)))</x:f>
        <x:v>0</x:v>
      </x:c>
      <x:c r="L346" s="40"/>
      <x:c r="M346" s="40"/>
      <x:c r="N346" s="37" t="str"/>
    </x:row>
    <x:row r="347" ht="44" customHeight="1">
      <x:c r="A347" s="18" t="str">
        <x:v>P10-32</x:v>
      </x:c>
      <x:c r="B347" s="18" t="str">
        <x:v>Phase 10 - Forecasting</x:v>
      </x:c>
      <x:c r="C347" s="18" t="str">
        <x:v>Time-aware validation</x:v>
      </x:c>
      <x:c r="D347" s="37" t="str">
        <x:v>Tune bằng validation time block hoặc TimeSeriesSplit phù hợp</x:v>
      </x:c>
      <x:c r="E347" s="38" t="str">
        <x:v>B</x:v>
      </x:c>
      <x:c r="F347" s="38" t="str">
        <x:v>A</x:v>
      </x:c>
      <x:c r="G347" s="37" t="str">
        <x:v>P10-21, P10-31</x:v>
      </x:c>
      <x:c r="H347" s="37" t="str">
        <x:v>Không dùng random cross-validation</x:v>
      </x:c>
      <x:c r="I347" s="38" t="str">
        <x:v>P0</x:v>
      </x:c>
      <x:c r="J347" s="38" t="str">
        <x:v>TODO</x:v>
      </x:c>
      <x:c r="K347" s="39" t="n">
        <x:f>IF(J347="DONE",1,IF(J347="REVIEW",0.8,IF(J347="DOING",0.5,0)))</x:f>
        <x:v>0</x:v>
      </x:c>
      <x:c r="L347" s="40"/>
      <x:c r="M347" s="40"/>
      <x:c r="N347" s="37" t="str"/>
    </x:row>
    <x:row r="348" ht="44" customHeight="1">
      <x:c r="A348" s="18" t="str">
        <x:v>P10-33</x:v>
      </x:c>
      <x:c r="B348" s="18" t="str">
        <x:v>Phase 10 - Forecasting</x:v>
      </x:c>
      <x:c r="C348" s="18" t="str">
        <x:v>Model comparison</x:v>
      </x:c>
      <x:c r="D348" s="37" t="str">
        <x:v>So sánh models với persistence trên cùng validation rows</x:v>
      </x:c>
      <x:c r="E348" s="38" t="str">
        <x:v>A+B</x:v>
      </x:c>
      <x:c r="F348" s="38" t="str">
        <x:v>A+B</x:v>
      </x:c>
      <x:c r="G348" s="37" t="str">
        <x:v>P10-25, P10-27 đến P10-32</x:v>
      </x:c>
      <x:c r="H348" s="37" t="str">
        <x:v>Bảng MAE chính; RMSE/R² phụ; cùng sample</x:v>
      </x:c>
      <x:c r="I348" s="38" t="str">
        <x:v>P0</x:v>
      </x:c>
      <x:c r="J348" s="38" t="str">
        <x:v>TODO</x:v>
      </x:c>
      <x:c r="K348" s="39" t="n">
        <x:f>IF(J348="DONE",1,IF(J348="REVIEW",0.8,IF(J348="DOING",0.5,0)))</x:f>
        <x:v>0</x:v>
      </x:c>
      <x:c r="L348" s="40"/>
      <x:c r="M348" s="40"/>
      <x:c r="N348" s="37" t="str"/>
    </x:row>
    <x:row r="349" ht="44" customHeight="1">
      <x:c r="A349" s="18" t="str">
        <x:v>P10-34</x:v>
      </x:c>
      <x:c r="B349" s="18" t="str">
        <x:v>Phase 10 - Forecasting</x:v>
      </x:c>
      <x:c r="C349" s="18" t="str">
        <x:v>Decision Gate</x:v>
      </x:c>
      <x:c r="D349" s="37" t="str">
        <x:v>Chọn final model trước khi mở test set</x:v>
      </x:c>
      <x:c r="E349" s="38" t="str">
        <x:v>A+B</x:v>
      </x:c>
      <x:c r="F349" s="38" t="str">
        <x:v>A+B</x:v>
      </x:c>
      <x:c r="G349" s="37" t="str">
        <x:v>P10-33</x:v>
      </x:c>
      <x:c r="H349" s="37" t="str">
        <x:v>Quyết định dựa trên validation và complexity</x:v>
      </x:c>
      <x:c r="I349" s="38" t="str">
        <x:v>P0</x:v>
      </x:c>
      <x:c r="J349" s="38" t="str">
        <x:v>TODO</x:v>
      </x:c>
      <x:c r="K349" s="39" t="n">
        <x:f>IF(J349="DONE",1,IF(J349="REVIEW",0.8,IF(J349="DOING",0.5,0)))</x:f>
        <x:v>0</x:v>
      </x:c>
      <x:c r="L349" s="40"/>
      <x:c r="M349" s="40"/>
      <x:c r="N349" s="37" t="str"/>
    </x:row>
    <x:row r="350" ht="44" customHeight="1">
      <x:c r="A350" s="18" t="str">
        <x:v>P10-35</x:v>
      </x:c>
      <x:c r="B350" s="18" t="str">
        <x:v>Phase 10 - Forecasting</x:v>
      </x:c>
      <x:c r="C350" s="18" t="str">
        <x:v>Final evaluation</x:v>
      </x:c>
      <x:c r="D350" s="37" t="str">
        <x:v>Đánh giá final model một lần trên test set</x:v>
      </x:c>
      <x:c r="E350" s="38" t="str">
        <x:v>B</x:v>
      </x:c>
      <x:c r="F350" s="38" t="str">
        <x:v>A</x:v>
      </x:c>
      <x:c r="G350" s="37" t="str">
        <x:v>P10-34</x:v>
      </x:c>
      <x:c r="H350" s="37" t="str">
        <x:v>Test MAE, RMSE, R² được lưu và không tune tiếp trên test</x:v>
      </x:c>
      <x:c r="I350" s="38" t="str">
        <x:v>P0</x:v>
      </x:c>
      <x:c r="J350" s="38" t="str">
        <x:v>TODO</x:v>
      </x:c>
      <x:c r="K350" s="39" t="n">
        <x:f>IF(J350="DONE",1,IF(J350="REVIEW",0.8,IF(J350="DOING",0.5,0)))</x:f>
        <x:v>0</x:v>
      </x:c>
      <x:c r="L350" s="40"/>
      <x:c r="M350" s="40"/>
      <x:c r="N350" s="37" t="str"/>
    </x:row>
    <x:row r="351" ht="44" customHeight="1">
      <x:c r="A351" s="18" t="str">
        <x:v>P10-36</x:v>
      </x:c>
      <x:c r="B351" s="18" t="str">
        <x:v>Phase 10 - Forecasting</x:v>
      </x:c>
      <x:c r="C351" s="18" t="str">
        <x:v>Baseline comparison</x:v>
      </x:c>
      <x:c r="D351" s="37" t="str">
        <x:v>Tính mức cải thiện so với persistence</x:v>
      </x:c>
      <x:c r="E351" s="38" t="str">
        <x:v>A</x:v>
      </x:c>
      <x:c r="F351" s="38" t="str">
        <x:v>B</x:v>
      </x:c>
      <x:c r="G351" s="37" t="str">
        <x:v>P10-25, P10-35</x:v>
      </x:c>
      <x:c r="H351" s="37" t="str">
        <x:v>Nêu rõ thắng/thua baseline theo overall và station</x:v>
      </x:c>
      <x:c r="I351" s="38" t="str">
        <x:v>P0</x:v>
      </x:c>
      <x:c r="J351" s="38" t="str">
        <x:v>TODO</x:v>
      </x:c>
      <x:c r="K351" s="39" t="n">
        <x:f>IF(J351="DONE",1,IF(J351="REVIEW",0.8,IF(J351="DOING",0.5,0)))</x:f>
        <x:v>0</x:v>
      </x:c>
      <x:c r="L351" s="40"/>
      <x:c r="M351" s="40"/>
      <x:c r="N351" s="37" t="str"/>
    </x:row>
    <x:row r="352" ht="44" customHeight="1">
      <x:c r="A352" s="18" t="str">
        <x:v>P10-37</x:v>
      </x:c>
      <x:c r="B352" s="18" t="str">
        <x:v>Phase 10 - Forecasting</x:v>
      </x:c>
      <x:c r="C352" s="18" t="str">
        <x:v>Error analysis</x:v>
      </x:c>
      <x:c r="D352" s="37" t="str">
        <x:v>Phân tích error theo station</x:v>
      </x:c>
      <x:c r="E352" s="38" t="str">
        <x:v>B</x:v>
      </x:c>
      <x:c r="F352" s="38" t="str">
        <x:v>A</x:v>
      </x:c>
      <x:c r="G352" s="37" t="str">
        <x:v>P10-35</x:v>
      </x:c>
      <x:c r="H352" s="37" t="str">
        <x:v>Biết station model yếu/mạnh và sample count</x:v>
      </x:c>
      <x:c r="I352" s="38" t="str">
        <x:v>P0</x:v>
      </x:c>
      <x:c r="J352" s="38" t="str">
        <x:v>TODO</x:v>
      </x:c>
      <x:c r="K352" s="39" t="n">
        <x:f>IF(J352="DONE",1,IF(J352="REVIEW",0.8,IF(J352="DOING",0.5,0)))</x:f>
        <x:v>0</x:v>
      </x:c>
      <x:c r="L352" s="40"/>
      <x:c r="M352" s="40"/>
      <x:c r="N352" s="37" t="str"/>
    </x:row>
    <x:row r="353" ht="44" customHeight="1">
      <x:c r="A353" s="18" t="str">
        <x:v>P10-38</x:v>
      </x:c>
      <x:c r="B353" s="18" t="str">
        <x:v>Phase 10 - Forecasting</x:v>
      </x:c>
      <x:c r="C353" s="18" t="str">
        <x:v>Error analysis</x:v>
      </x:c>
      <x:c r="D353" s="37" t="str">
        <x:v>Phân tích error theo mùa và giờ</x:v>
      </x:c>
      <x:c r="E353" s="38" t="str">
        <x:v>B</x:v>
      </x:c>
      <x:c r="F353" s="38" t="str">
        <x:v>A</x:v>
      </x:c>
      <x:c r="G353" s="37" t="str">
        <x:v>P10-35</x:v>
      </x:c>
      <x:c r="H353" s="37" t="str">
        <x:v>Error segment dùng cùng metric definition</x:v>
      </x:c>
      <x:c r="I353" s="38" t="str">
        <x:v>P1</x:v>
      </x:c>
      <x:c r="J353" s="38" t="str">
        <x:v>TODO</x:v>
      </x:c>
      <x:c r="K353" s="39" t="n">
        <x:f>IF(J353="DONE",1,IF(J353="REVIEW",0.8,IF(J353="DOING",0.5,0)))</x:f>
        <x:v>0</x:v>
      </x:c>
      <x:c r="L353" s="40"/>
      <x:c r="M353" s="40"/>
      <x:c r="N353" s="37" t="str"/>
    </x:row>
    <x:row r="354" ht="44" customHeight="1">
      <x:c r="A354" s="18" t="str">
        <x:v>P10-39</x:v>
      </x:c>
      <x:c r="B354" s="18" t="str">
        <x:v>Phase 10 - Forecasting</x:v>
      </x:c>
      <x:c r="C354" s="18" t="str">
        <x:v>Error analysis</x:v>
      </x:c>
      <x:c r="D354" s="37" t="str">
        <x:v>Phân tích error ở episode PM2.5 cao</x:v>
      </x:c>
      <x:c r="E354" s="38" t="str">
        <x:v>B</x:v>
      </x:c>
      <x:c r="F354" s="38" t="str">
        <x:v>A</x:v>
      </x:c>
      <x:c r="G354" s="37" t="str">
        <x:v>P10-35</x:v>
      </x:c>
      <x:c r="H354" s="37" t="str">
        <x:v>Biết model có underpredict peaks không</x:v>
      </x:c>
      <x:c r="I354" s="38" t="str">
        <x:v>P0</x:v>
      </x:c>
      <x:c r="J354" s="38" t="str">
        <x:v>TODO</x:v>
      </x:c>
      <x:c r="K354" s="39" t="n">
        <x:f>IF(J354="DONE",1,IF(J354="REVIEW",0.8,IF(J354="DOING",0.5,0)))</x:f>
        <x:v>0</x:v>
      </x:c>
      <x:c r="L354" s="40"/>
      <x:c r="M354" s="40"/>
      <x:c r="N354" s="37" t="str"/>
    </x:row>
    <x:row r="355" ht="44" customHeight="1">
      <x:c r="A355" s="18" t="str">
        <x:v>P10-40</x:v>
      </x:c>
      <x:c r="B355" s="18" t="str">
        <x:v>Phase 10 - Forecasting</x:v>
      </x:c>
      <x:c r="C355" s="18" t="str">
        <x:v>Residual review</x:v>
      </x:c>
      <x:c r="D355" s="37" t="str">
        <x:v>Kiểm tra residual distribution và large-error cases</x:v>
      </x:c>
      <x:c r="E355" s="38" t="str">
        <x:v>B</x:v>
      </x:c>
      <x:c r="F355" s="38" t="str">
        <x:v>A</x:v>
      </x:c>
      <x:c r="G355" s="37" t="str">
        <x:v>P10-35</x:v>
      </x:c>
      <x:c r="H355" s="37" t="str">
        <x:v>Có plot/table và ví dụ timestamp cụ thể</x:v>
      </x:c>
      <x:c r="I355" s="38" t="str">
        <x:v>P1</x:v>
      </x:c>
      <x:c r="J355" s="38" t="str">
        <x:v>TODO</x:v>
      </x:c>
      <x:c r="K355" s="39" t="n">
        <x:f>IF(J355="DONE",1,IF(J355="REVIEW",0.8,IF(J355="DOING",0.5,0)))</x:f>
        <x:v>0</x:v>
      </x:c>
      <x:c r="L355" s="40"/>
      <x:c r="M355" s="40"/>
      <x:c r="N355" s="37" t="str"/>
    </x:row>
    <x:row r="356" ht="44" customHeight="1">
      <x:c r="A356" s="18" t="str">
        <x:v>P10-41</x:v>
      </x:c>
      <x:c r="B356" s="18" t="str">
        <x:v>Phase 10 - Forecasting</x:v>
      </x:c>
      <x:c r="C356" s="18" t="str">
        <x:v>Feature importance</x:v>
      </x:c>
      <x:c r="D356" s="37" t="str">
        <x:v>Tính feature importance/coefficients phù hợp model</x:v>
      </x:c>
      <x:c r="E356" s="38" t="str">
        <x:v>B</x:v>
      </x:c>
      <x:c r="F356" s="38" t="str">
        <x:v>A</x:v>
      </x:c>
      <x:c r="G356" s="37" t="str">
        <x:v>P10-34</x:v>
      </x:c>
      <x:c r="H356" s="37" t="str">
        <x:v>Interpretation không biến association thành causal claim</x:v>
      </x:c>
      <x:c r="I356" s="38" t="str">
        <x:v>P1</x:v>
      </x:c>
      <x:c r="J356" s="38" t="str">
        <x:v>TODO</x:v>
      </x:c>
      <x:c r="K356" s="39" t="n">
        <x:f>IF(J356="DONE",1,IF(J356="REVIEW",0.8,IF(J356="DOING",0.5,0)))</x:f>
        <x:v>0</x:v>
      </x:c>
      <x:c r="L356" s="40"/>
      <x:c r="M356" s="40"/>
      <x:c r="N356" s="37" t="str"/>
    </x:row>
    <x:row r="357" ht="44" customHeight="1">
      <x:c r="A357" s="18" t="str">
        <x:v>P10-42</x:v>
      </x:c>
      <x:c r="B357" s="18" t="str">
        <x:v>Phase 10 - Forecasting</x:v>
      </x:c>
      <x:c r="C357" s="18" t="str">
        <x:v>Global vs station</x:v>
      </x:c>
      <x:c r="D357" s="37" t="str">
        <x:v>Chỉ thử per-station model nếu global model có vấn đề rõ</x:v>
      </x:c>
      <x:c r="E357" s="38" t="str">
        <x:v>A+B</x:v>
      </x:c>
      <x:c r="F357" s="38" t="str">
        <x:v>A+B</x:v>
      </x:c>
      <x:c r="G357" s="37" t="str">
        <x:v>P10-37</x:v>
      </x:c>
      <x:c r="H357" s="37" t="str">
        <x:v>Có tiêu chí quyết định; không mặc định tạo 12 models</x:v>
      </x:c>
      <x:c r="I357" s="38" t="str">
        <x:v>P2</x:v>
      </x:c>
      <x:c r="J357" s="38" t="str">
        <x:v>TODO</x:v>
      </x:c>
      <x:c r="K357" s="39" t="n">
        <x:f>IF(J357="DONE",1,IF(J357="REVIEW",0.8,IF(J357="DOING",0.5,0)))</x:f>
        <x:v>0</x:v>
      </x:c>
      <x:c r="L357" s="40"/>
      <x:c r="M357" s="40"/>
      <x:c r="N357" s="37" t="str"/>
    </x:row>
    <x:row r="358" ht="44" customHeight="1">
      <x:c r="A358" s="18" t="str">
        <x:v>P10-43</x:v>
      </x:c>
      <x:c r="B358" s="18" t="str">
        <x:v>Phase 10 - Forecasting</x:v>
      </x:c>
      <x:c r="C358" s="18" t="str">
        <x:v>Reproducibility</x:v>
      </x:c>
      <x:c r="D358" s="37" t="str">
        <x:v>Cố định seed và lưu feature/split configuration</x:v>
      </x:c>
      <x:c r="E358" s="38" t="str">
        <x:v>B</x:v>
      </x:c>
      <x:c r="F358" s="38" t="str">
        <x:v>A</x:v>
      </x:c>
      <x:c r="G358" s="37" t="str">
        <x:v>P10-34</x:v>
      </x:c>
      <x:c r="H358" s="37" t="str">
        <x:v>Cấu hình đủ để chạy lại cùng experiment</x:v>
      </x:c>
      <x:c r="I358" s="38" t="str">
        <x:v>P0</x:v>
      </x:c>
      <x:c r="J358" s="38" t="str">
        <x:v>TODO</x:v>
      </x:c>
      <x:c r="K358" s="39" t="n">
        <x:f>IF(J358="DONE",1,IF(J358="REVIEW",0.8,IF(J358="DOING",0.5,0)))</x:f>
        <x:v>0</x:v>
      </x:c>
      <x:c r="L358" s="40"/>
      <x:c r="M358" s="40"/>
      <x:c r="N358" s="37" t="str"/>
    </x:row>
    <x:row r="359" ht="44" customHeight="1">
      <x:c r="A359" s="18" t="str">
        <x:v>P10-44</x:v>
      </x:c>
      <x:c r="B359" s="18" t="str">
        <x:v>Phase 10 - Forecasting</x:v>
      </x:c>
      <x:c r="C359" s="18" t="str">
        <x:v>Artifact</x:v>
      </x:c>
      <x:c r="D359" s="37" t="str">
        <x:v>Lưu preprocessing pipeline và final model</x:v>
      </x:c>
      <x:c r="E359" s="38" t="str">
        <x:v>B</x:v>
      </x:c>
      <x:c r="F359" s="38" t="str">
        <x:v>A</x:v>
      </x:c>
      <x:c r="G359" s="37" t="str">
        <x:v>P10-35, P10-43</x:v>
      </x:c>
      <x:c r="H359" s="37" t="str">
        <x:v>Artifact load lại và predict được</x:v>
      </x:c>
      <x:c r="I359" s="38" t="str">
        <x:v>P0</x:v>
      </x:c>
      <x:c r="J359" s="38" t="str">
        <x:v>TODO</x:v>
      </x:c>
      <x:c r="K359" s="39" t="n">
        <x:f>IF(J359="DONE",1,IF(J359="REVIEW",0.8,IF(J359="DOING",0.5,0)))</x:f>
        <x:v>0</x:v>
      </x:c>
      <x:c r="L359" s="40"/>
      <x:c r="M359" s="40"/>
      <x:c r="N359" s="37" t="str"/>
    </x:row>
    <x:row r="360" ht="44" customHeight="1">
      <x:c r="A360" s="18" t="str">
        <x:v>P10-45</x:v>
      </x:c>
      <x:c r="B360" s="18" t="str">
        <x:v>Phase 10 - Forecasting</x:v>
      </x:c>
      <x:c r="C360" s="18" t="str">
        <x:v>Prediction output</x:v>
      </x:c>
      <x:c r="D360" s="37" t="str">
        <x:v>Xuất actual, predicted, error, station và timestamp</x:v>
      </x:c>
      <x:c r="E360" s="38" t="str">
        <x:v>B</x:v>
      </x:c>
      <x:c r="F360" s="38" t="str">
        <x:v>A</x:v>
      </x:c>
      <x:c r="G360" s="37" t="str">
        <x:v>P10-35</x:v>
      </x:c>
      <x:c r="H360" s="37" t="str">
        <x:v>Bảng phục vụ dashboard, không thiếu join key</x:v>
      </x:c>
      <x:c r="I360" s="38" t="str">
        <x:v>P0</x:v>
      </x:c>
      <x:c r="J360" s="38" t="str">
        <x:v>TODO</x:v>
      </x:c>
      <x:c r="K360" s="39" t="n">
        <x:f>IF(J360="DONE",1,IF(J360="REVIEW",0.8,IF(J360="DOING",0.5,0)))</x:f>
        <x:v>0</x:v>
      </x:c>
      <x:c r="L360" s="40"/>
      <x:c r="M360" s="40"/>
      <x:c r="N360" s="37" t="str"/>
    </x:row>
    <x:row r="361" ht="44" customHeight="1">
      <x:c r="A361" s="18" t="str">
        <x:v>P10-46</x:v>
      </x:c>
      <x:c r="B361" s="18" t="str">
        <x:v>Phase 10 - Forecasting</x:v>
      </x:c>
      <x:c r="C361" s="18" t="str">
        <x:v>DWH integration</x:v>
      </x:c>
      <x:c r="D361" s="37" t="str">
        <x:v>Lưu prediction output vào table/mart phù hợp</x:v>
      </x:c>
      <x:c r="E361" s="38" t="str">
        <x:v>A</x:v>
      </x:c>
      <x:c r="F361" s="38" t="str">
        <x:v>B</x:v>
      </x:c>
      <x:c r="G361" s="37" t="str">
        <x:v>P10-45</x:v>
      </x:c>
      <x:c r="H361" s="37" t="str">
        <x:v>Dashboard query được prediction mà không train model</x:v>
      </x:c>
      <x:c r="I361" s="38" t="str">
        <x:v>P1</x:v>
      </x:c>
      <x:c r="J361" s="38" t="str">
        <x:v>TODO</x:v>
      </x:c>
      <x:c r="K361" s="39" t="n">
        <x:f>IF(J361="DONE",1,IF(J361="REVIEW",0.8,IF(J361="DOING",0.5,0)))</x:f>
        <x:v>0</x:v>
      </x:c>
      <x:c r="L361" s="40"/>
      <x:c r="M361" s="40"/>
      <x:c r="N361" s="37" t="str"/>
    </x:row>
    <x:row r="362" ht="44" customHeight="1">
      <x:c r="A362" s="18" t="str">
        <x:v>P10-47</x:v>
      </x:c>
      <x:c r="B362" s="18" t="str">
        <x:v>Phase 10 - Forecasting</x:v>
      </x:c>
      <x:c r="C362" s="18" t="str">
        <x:v>Leakage review</x:v>
      </x:c>
      <x:c r="D362" s="37" t="str">
        <x:v>Review toàn bộ target, split, transformer và feature pipeline lần cuối</x:v>
      </x:c>
      <x:c r="E362" s="38" t="str">
        <x:v>A+B</x:v>
      </x:c>
      <x:c r="F362" s="38" t="str">
        <x:v>A+B</x:v>
      </x:c>
      <x:c r="G362" s="37" t="str">
        <x:v>P10-35, P10-46</x:v>
      </x:c>
      <x:c r="H362" s="37" t="str">
        <x:v>Checklist no-future-leakage được ký xác nhận</x:v>
      </x:c>
      <x:c r="I362" s="38" t="str">
        <x:v>P0</x:v>
      </x:c>
      <x:c r="J362" s="38" t="str">
        <x:v>TODO</x:v>
      </x:c>
      <x:c r="K362" s="39" t="n">
        <x:f>IF(J362="DONE",1,IF(J362="REVIEW",0.8,IF(J362="DOING",0.5,0)))</x:f>
        <x:v>0</x:v>
      </x:c>
      <x:c r="L362" s="40"/>
      <x:c r="M362" s="40"/>
      <x:c r="N362" s="37" t="str"/>
    </x:row>
    <x:row r="363" ht="44" customHeight="1">
      <x:c r="A363" s="18" t="str">
        <x:v>P10-48</x:v>
      </x:c>
      <x:c r="B363" s="18" t="str">
        <x:v>Phase 10 - Forecasting</x:v>
      </x:c>
      <x:c r="C363" s="18" t="str">
        <x:v>Reproducibility</x:v>
      </x:c>
      <x:c r="D363" s="37" t="str">
        <x:v>Thành viên A chạy lại training/evaluation từ config</x:v>
      </x:c>
      <x:c r="E363" s="38" t="str">
        <x:v>A</x:v>
      </x:c>
      <x:c r="F363" s="38" t="str">
        <x:v>B</x:v>
      </x:c>
      <x:c r="G363" s="37" t="str">
        <x:v>P10-44 đến P10-47</x:v>
      </x:c>
      <x:c r="H363" s="37" t="str">
        <x:v>Kết quả gần như tái tạo và sai khác được giải thích</x:v>
      </x:c>
      <x:c r="I363" s="38" t="str">
        <x:v>P1</x:v>
      </x:c>
      <x:c r="J363" s="38" t="str">
        <x:v>TODO</x:v>
      </x:c>
      <x:c r="K363" s="39" t="n">
        <x:f>IF(J363="DONE",1,IF(J363="REVIEW",0.8,IF(J363="DOING",0.5,0)))</x:f>
        <x:v>0</x:v>
      </x:c>
      <x:c r="L363" s="40"/>
      <x:c r="M363" s="40"/>
      <x:c r="N363" s="37" t="str"/>
    </x:row>
    <x:row r="364" ht="44" customHeight="1">
      <x:c r="A364" s="18" t="str">
        <x:v>P10-49</x:v>
      </x:c>
      <x:c r="B364" s="18" t="str">
        <x:v>Phase 10 - Forecasting</x:v>
      </x:c>
      <x:c r="C364" s="18" t="str">
        <x:v>Documentation</x:v>
      </x:c>
      <x:c r="D364" s="37" t="str">
        <x:v>Viết methodology, metrics, comparison và limitations</x:v>
      </x:c>
      <x:c r="E364" s="38" t="str">
        <x:v>B</x:v>
      </x:c>
      <x:c r="F364" s="38" t="str">
        <x:v>A</x:v>
      </x:c>
      <x:c r="G364" s="37" t="str">
        <x:v>P10-36 đến P10-48</x:v>
      </x:c>
      <x:c r="H364" s="37" t="str">
        <x:v>Báo cáo nói rõ baseline, split, leakage và error analysis</x:v>
      </x:c>
      <x:c r="I364" s="38" t="str">
        <x:v>P0</x:v>
      </x:c>
      <x:c r="J364" s="38" t="str">
        <x:v>TODO</x:v>
      </x:c>
      <x:c r="K364" s="39" t="n">
        <x:f>IF(J364="DONE",1,IF(J364="REVIEW",0.8,IF(J364="DOING",0.5,0)))</x:f>
        <x:v>0</x:v>
      </x:c>
      <x:c r="L364" s="40"/>
      <x:c r="M364" s="40"/>
      <x:c r="N364" s="37" t="str"/>
    </x:row>
    <x:row r="365" ht="44" customHeight="1">
      <x:c r="A365" s="18" t="str">
        <x:v>P10-50</x:v>
      </x:c>
      <x:c r="B365" s="18" t="str">
        <x:v>Phase 10 - Forecasting</x:v>
      </x:c>
      <x:c r="C365" s="18" t="str">
        <x:v>Checkpoint</x:v>
      </x:c>
      <x:c r="D365" s="37" t="str">
        <x:v>Cập nhật PROGRESS.md và lưu evidence Phase 10</x:v>
      </x:c>
      <x:c r="E365" s="38" t="str">
        <x:v>A+B</x:v>
      </x:c>
      <x:c r="F365" s="38" t="str">
        <x:v>A+B</x:v>
      </x:c>
      <x:c r="G365" s="37" t="str">
        <x:v>P10-49</x:v>
      </x:c>
      <x:c r="H365" s="37" t="str">
        <x:v>Code, config, model, predictions, metrics và plots đã review</x:v>
      </x:c>
      <x:c r="I365" s="38" t="str">
        <x:v>P0</x:v>
      </x:c>
      <x:c r="J365" s="38" t="str">
        <x:v>TODO</x:v>
      </x:c>
      <x:c r="K365" s="39" t="n">
        <x:f>IF(J365="DONE",1,IF(J365="REVIEW",0.8,IF(J365="DOING",0.5,0)))</x:f>
        <x:v>0</x:v>
      </x:c>
      <x:c r="L365" s="40"/>
      <x:c r="M365" s="40"/>
      <x:c r="N365" s="37" t="str"/>
    </x:row>
    <x:row r="366" ht="44" customHeight="1">
      <x:c r="A366" s="18" t="str">
        <x:v>P11-01</x:v>
      </x:c>
      <x:c r="B366" s="18" t="str">
        <x:v>Phase 11 - Dashboard</x:v>
      </x:c>
      <x:c r="C366" s="18" t="str">
        <x:v>Điều kiện đầu vào</x:v>
      </x:c>
      <x:c r="D366" s="37" t="str">
        <x:v>Xác nhận DWH, marts, clustering và prediction output sẵn sàng</x:v>
      </x:c>
      <x:c r="E366" s="38" t="str">
        <x:v>A+B</x:v>
      </x:c>
      <x:c r="F366" s="38" t="str">
        <x:v>A+B</x:v>
      </x:c>
      <x:c r="G366" s="37" t="str">
        <x:v>P7-40, P9-30, P10-50</x:v>
      </x:c>
      <x:c r="H366" s="37" t="str">
        <x:v>Dashboard dùng dữ liệu pipeline thật</x:v>
      </x:c>
      <x:c r="I366" s="38" t="str">
        <x:v>P0</x:v>
      </x:c>
      <x:c r="J366" s="38" t="str">
        <x:v>TODO</x:v>
      </x:c>
      <x:c r="K366" s="39" t="n">
        <x:f>IF(J366="DONE",1,IF(J366="REVIEW",0.8,IF(J366="DOING",0.5,0)))</x:f>
        <x:v>0</x:v>
      </x:c>
      <x:c r="L366" s="40"/>
      <x:c r="M366" s="40"/>
      <x:c r="N366" s="37" t="str"/>
    </x:row>
    <x:row r="367" ht="44" customHeight="1">
      <x:c r="A367" s="18" t="str">
        <x:v>P11-02</x:v>
      </x:c>
      <x:c r="B367" s="18" t="str">
        <x:v>Phase 11 - Dashboard</x:v>
      </x:c>
      <x:c r="C367" s="18" t="str">
        <x:v>Requirements</x:v>
      </x:c>
      <x:c r="D367" s="37" t="str">
        <x:v>Chốt 4 trang MVP: Overview, Station, Weather, Prediction</x:v>
      </x:c>
      <x:c r="E367" s="38" t="str">
        <x:v>A+B</x:v>
      </x:c>
      <x:c r="F367" s="38" t="str">
        <x:v>A+B</x:v>
      </x:c>
      <x:c r="G367" s="37" t="str">
        <x:v>P11-01</x:v>
      </x:c>
      <x:c r="H367" s="37" t="str">
        <x:v>Mỗi trang có câu hỏi và dữ liệu đầu vào rõ</x:v>
      </x:c>
      <x:c r="I367" s="38" t="str">
        <x:v>P0</x:v>
      </x:c>
      <x:c r="J367" s="38" t="str">
        <x:v>TODO</x:v>
      </x:c>
      <x:c r="K367" s="39" t="n">
        <x:f>IF(J367="DONE",1,IF(J367="REVIEW",0.8,IF(J367="DOING",0.5,0)))</x:f>
        <x:v>0</x:v>
      </x:c>
      <x:c r="L367" s="40"/>
      <x:c r="M367" s="40"/>
      <x:c r="N367" s="37" t="str"/>
    </x:row>
    <x:row r="368" ht="44" customHeight="1">
      <x:c r="A368" s="18" t="str">
        <x:v>P11-03</x:v>
      </x:c>
      <x:c r="B368" s="18" t="str">
        <x:v>Phase 11 - Dashboard</x:v>
      </x:c>
      <x:c r="C368" s="18" t="str">
        <x:v>Data contract</x:v>
      </x:c>
      <x:c r="D368" s="37" t="str">
        <x:v>Liệt kê query/mart cho từng thành phần dashboard</x:v>
      </x:c>
      <x:c r="E368" s="38" t="str">
        <x:v>B</x:v>
      </x:c>
      <x:c r="F368" s="38" t="str">
        <x:v>A</x:v>
      </x:c>
      <x:c r="G368" s="37" t="str">
        <x:v>P11-02</x:v>
      </x:c>
      <x:c r="H368" s="37" t="str">
        <x:v>Không có chart chưa xác định nguồn dữ liệu</x:v>
      </x:c>
      <x:c r="I368" s="38" t="str">
        <x:v>P0</x:v>
      </x:c>
      <x:c r="J368" s="38" t="str">
        <x:v>TODO</x:v>
      </x:c>
      <x:c r="K368" s="39" t="n">
        <x:f>IF(J368="DONE",1,IF(J368="REVIEW",0.8,IF(J368="DOING",0.5,0)))</x:f>
        <x:v>0</x:v>
      </x:c>
      <x:c r="L368" s="40"/>
      <x:c r="M368" s="40"/>
      <x:c r="N368" s="37" t="str"/>
    </x:row>
    <x:row r="369" ht="44" customHeight="1">
      <x:c r="A369" s="18" t="str">
        <x:v>P11-04</x:v>
      </x:c>
      <x:c r="B369" s="18" t="str">
        <x:v>Phase 11 - Dashboard</x:v>
      </x:c>
      <x:c r="C369" s="18" t="str">
        <x:v>App setup</x:v>
      </x:c>
      <x:c r="D369" s="37" t="str">
        <x:v>Tạo cấu trúc ứng dụng Streamlit</x:v>
      </x:c>
      <x:c r="E369" s="38" t="str">
        <x:v>B</x:v>
      </x:c>
      <x:c r="F369" s="38" t="str">
        <x:v>A</x:v>
      </x:c>
      <x:c r="G369" s="37" t="str">
        <x:v>P11-02</x:v>
      </x:c>
      <x:c r="H369" s="37" t="str">
        <x:v>Có app entry, pages/components và config rõ</x:v>
      </x:c>
      <x:c r="I369" s="38" t="str">
        <x:v>P0</x:v>
      </x:c>
      <x:c r="J369" s="38" t="str">
        <x:v>TODO</x:v>
      </x:c>
      <x:c r="K369" s="39" t="n">
        <x:f>IF(J369="DONE",1,IF(J369="REVIEW",0.8,IF(J369="DOING",0.5,0)))</x:f>
        <x:v>0</x:v>
      </x:c>
      <x:c r="L369" s="40"/>
      <x:c r="M369" s="40"/>
      <x:c r="N369" s="37" t="str"/>
    </x:row>
    <x:row r="370" ht="44" customHeight="1">
      <x:c r="A370" s="18" t="str">
        <x:v>P11-05</x:v>
      </x:c>
      <x:c r="B370" s="18" t="str">
        <x:v>Phase 11 - Dashboard</x:v>
      </x:c>
      <x:c r="C370" s="18" t="str">
        <x:v>Database access</x:v>
      </x:c>
      <x:c r="D370" s="37" t="str">
        <x:v>Viết module kết nối PostgreSQL qua environment</x:v>
      </x:c>
      <x:c r="E370" s="38" t="str">
        <x:v>A</x:v>
      </x:c>
      <x:c r="F370" s="38" t="str">
        <x:v>B</x:v>
      </x:c>
      <x:c r="G370" s="37" t="str">
        <x:v>P11-03, P11-04</x:v>
      </x:c>
      <x:c r="H370" s="37" t="str">
        <x:v>Không hard-code credential và query chạy được</x:v>
      </x:c>
      <x:c r="I370" s="38" t="str">
        <x:v>P0</x:v>
      </x:c>
      <x:c r="J370" s="38" t="str">
        <x:v>TODO</x:v>
      </x:c>
      <x:c r="K370" s="39" t="n">
        <x:f>IF(J370="DONE",1,IF(J370="REVIEW",0.8,IF(J370="DOING",0.5,0)))</x:f>
        <x:v>0</x:v>
      </x:c>
      <x:c r="L370" s="40"/>
      <x:c r="M370" s="40"/>
      <x:c r="N370" s="37" t="str"/>
    </x:row>
    <x:row r="371" ht="44" customHeight="1">
      <x:c r="A371" s="18" t="str">
        <x:v>P11-06</x:v>
      </x:c>
      <x:c r="B371" s="18" t="str">
        <x:v>Phase 11 - Dashboard</x:v>
      </x:c>
      <x:c r="C371" s="18" t="str">
        <x:v>Query layer</x:v>
      </x:c>
      <x:c r="D371" s="37" t="str">
        <x:v>Tách reusable queries khỏi UI code</x:v>
      </x:c>
      <x:c r="E371" s="38" t="str">
        <x:v>A</x:v>
      </x:c>
      <x:c r="F371" s="38" t="str">
        <x:v>B</x:v>
      </x:c>
      <x:c r="G371" s="37" t="str">
        <x:v>P11-03, P11-05</x:v>
      </x:c>
      <x:c r="H371" s="37" t="str">
        <x:v>UI không chứa SQL dài lặp lại</x:v>
      </x:c>
      <x:c r="I371" s="38" t="str">
        <x:v>P1</x:v>
      </x:c>
      <x:c r="J371" s="38" t="str">
        <x:v>TODO</x:v>
      </x:c>
      <x:c r="K371" s="39" t="n">
        <x:f>IF(J371="DONE",1,IF(J371="REVIEW",0.8,IF(J371="DOING",0.5,0)))</x:f>
        <x:v>0</x:v>
      </x:c>
      <x:c r="L371" s="40"/>
      <x:c r="M371" s="40"/>
      <x:c r="N371" s="37" t="str"/>
    </x:row>
    <x:row r="372" ht="44" customHeight="1">
      <x:c r="A372" s="18" t="str">
        <x:v>P11-07</x:v>
      </x:c>
      <x:c r="B372" s="18" t="str">
        <x:v>Phase 11 - Dashboard</x:v>
      </x:c>
      <x:c r="C372" s="18" t="str">
        <x:v>Caching</x:v>
      </x:c>
      <x:c r="D372" s="37" t="str">
        <x:v>Thêm st.cache_data cho query analytics phù hợp</x:v>
      </x:c>
      <x:c r="E372" s="38" t="str">
        <x:v>A</x:v>
      </x:c>
      <x:c r="F372" s="38" t="str">
        <x:v>B</x:v>
      </x:c>
      <x:c r="G372" s="37" t="str">
        <x:v>P11-06</x:v>
      </x:c>
      <x:c r="H372" s="37" t="str">
        <x:v>Cache không chứa credential và có TTL/refresh hợp lý</x:v>
      </x:c>
      <x:c r="I372" s="38" t="str">
        <x:v>P1</x:v>
      </x:c>
      <x:c r="J372" s="38" t="str">
        <x:v>TODO</x:v>
      </x:c>
      <x:c r="K372" s="39" t="n">
        <x:f>IF(J372="DONE",1,IF(J372="REVIEW",0.8,IF(J372="DOING",0.5,0)))</x:f>
        <x:v>0</x:v>
      </x:c>
      <x:c r="L372" s="40"/>
      <x:c r="M372" s="40"/>
      <x:c r="N372" s="37" t="str"/>
    </x:row>
    <x:row r="373" ht="44" customHeight="1">
      <x:c r="A373" s="18" t="str">
        <x:v>P11-08</x:v>
      </x:c>
      <x:c r="B373" s="18" t="str">
        <x:v>Phase 11 - Dashboard</x:v>
      </x:c>
      <x:c r="C373" s="18" t="str">
        <x:v>Global filters</x:v>
      </x:c>
      <x:c r="D373" s="37" t="str">
        <x:v>Tạo station selector</x:v>
      </x:c>
      <x:c r="E373" s="38" t="str">
        <x:v>B</x:v>
      </x:c>
      <x:c r="F373" s="38" t="str">
        <x:v>A</x:v>
      </x:c>
      <x:c r="G373" s="37" t="str">
        <x:v>P11-05</x:v>
      </x:c>
      <x:c r="H373" s="37" t="str">
        <x:v>Có All và station hợp lệ từ DWH</x:v>
      </x:c>
      <x:c r="I373" s="38" t="str">
        <x:v>P0</x:v>
      </x:c>
      <x:c r="J373" s="38" t="str">
        <x:v>TODO</x:v>
      </x:c>
      <x:c r="K373" s="39" t="n">
        <x:f>IF(J373="DONE",1,IF(J373="REVIEW",0.8,IF(J373="DOING",0.5,0)))</x:f>
        <x:v>0</x:v>
      </x:c>
      <x:c r="L373" s="40"/>
      <x:c r="M373" s="40"/>
      <x:c r="N373" s="37" t="str"/>
    </x:row>
    <x:row r="374" ht="44" customHeight="1">
      <x:c r="A374" s="18" t="str">
        <x:v>P11-09</x:v>
      </x:c>
      <x:c r="B374" s="18" t="str">
        <x:v>Phase 11 - Dashboard</x:v>
      </x:c>
      <x:c r="C374" s="18" t="str">
        <x:v>Global filters</x:v>
      </x:c>
      <x:c r="D374" s="37" t="str">
        <x:v>Tạo date-range filter</x:v>
      </x:c>
      <x:c r="E374" s="38" t="str">
        <x:v>B</x:v>
      </x:c>
      <x:c r="F374" s="38" t="str">
        <x:v>A</x:v>
      </x:c>
      <x:c r="G374" s="37" t="str">
        <x:v>P11-05</x:v>
      </x:c>
      <x:c r="H374" s="37" t="str">
        <x:v>Giới hạn theo min/max DWH và xử lý range sai</x:v>
      </x:c>
      <x:c r="I374" s="38" t="str">
        <x:v>P0</x:v>
      </x:c>
      <x:c r="J374" s="38" t="str">
        <x:v>TODO</x:v>
      </x:c>
      <x:c r="K374" s="39" t="n">
        <x:f>IF(J374="DONE",1,IF(J374="REVIEW",0.8,IF(J374="DOING",0.5,0)))</x:f>
        <x:v>0</x:v>
      </x:c>
      <x:c r="L374" s="40"/>
      <x:c r="M374" s="40"/>
      <x:c r="N374" s="37" t="str"/>
    </x:row>
    <x:row r="375" ht="44" customHeight="1">
      <x:c r="A375" s="18" t="str">
        <x:v>P11-10</x:v>
      </x:c>
      <x:c r="B375" s="18" t="str">
        <x:v>Phase 11 - Dashboard</x:v>
      </x:c>
      <x:c r="C375" s="18" t="str">
        <x:v>Global filters</x:v>
      </x:c>
      <x:c r="D375" s="37" t="str">
        <x:v>Tạo pollutant selector</x:v>
      </x:c>
      <x:c r="E375" s="38" t="str">
        <x:v>B</x:v>
      </x:c>
      <x:c r="F375" s="38" t="str">
        <x:v>A</x:v>
      </x:c>
      <x:c r="G375" s="37" t="str">
        <x:v>P11-05</x:v>
      </x:c>
      <x:c r="H375" s="37" t="str">
        <x:v>Chỉ cho chọn 6 pollutant có trong data contract</x:v>
      </x:c>
      <x:c r="I375" s="38" t="str">
        <x:v>P0</x:v>
      </x:c>
      <x:c r="J375" s="38" t="str">
        <x:v>TODO</x:v>
      </x:c>
      <x:c r="K375" s="39" t="n">
        <x:f>IF(J375="DONE",1,IF(J375="REVIEW",0.8,IF(J375="DOING",0.5,0)))</x:f>
        <x:v>0</x:v>
      </x:c>
      <x:c r="L375" s="40"/>
      <x:c r="M375" s="40"/>
      <x:c r="N375" s="37" t="str"/>
    </x:row>
    <x:row r="376" ht="44" customHeight="1">
      <x:c r="A376" s="18" t="str">
        <x:v>P11-11</x:v>
      </x:c>
      <x:c r="B376" s="18" t="str">
        <x:v>Phase 11 - Dashboard</x:v>
      </x:c>
      <x:c r="C376" s="18" t="str">
        <x:v>Filter validation</x:v>
      </x:c>
      <x:c r="D376" s="37" t="str">
        <x:v>Kiểm tra filters truyền đúng vào query và charts</x:v>
      </x:c>
      <x:c r="E376" s="38" t="str">
        <x:v>A</x:v>
      </x:c>
      <x:c r="F376" s="38" t="str">
        <x:v>B</x:v>
      </x:c>
      <x:c r="G376" s="37" t="str">
        <x:v>P11-08 đến P11-10</x:v>
      </x:c>
      <x:c r="H376" s="37" t="str">
        <x:v>Không có chart dùng range/station khác filter hiển thị</x:v>
      </x:c>
      <x:c r="I376" s="38" t="str">
        <x:v>P0</x:v>
      </x:c>
      <x:c r="J376" s="38" t="str">
        <x:v>TODO</x:v>
      </x:c>
      <x:c r="K376" s="39" t="n">
        <x:f>IF(J376="DONE",1,IF(J376="REVIEW",0.8,IF(J376="DOING",0.5,0)))</x:f>
        <x:v>0</x:v>
      </x:c>
      <x:c r="L376" s="40"/>
      <x:c r="M376" s="40"/>
      <x:c r="N376" s="37" t="str"/>
    </x:row>
    <x:row r="377" ht="44" customHeight="1">
      <x:c r="A377" s="18" t="str">
        <x:v>P11-12</x:v>
      </x:c>
      <x:c r="B377" s="18" t="str">
        <x:v>Phase 11 - Dashboard</x:v>
      </x:c>
      <x:c r="C377" s="18" t="str">
        <x:v>Overview</x:v>
      </x:c>
      <x:c r="D377" s="37" t="str">
        <x:v>Tạo KPI cho period và filter hiện tại</x:v>
      </x:c>
      <x:c r="E377" s="38" t="str">
        <x:v>B</x:v>
      </x:c>
      <x:c r="F377" s="38" t="str">
        <x:v>A</x:v>
      </x:c>
      <x:c r="G377" s="37" t="str">
        <x:v>P11-11</x:v>
      </x:c>
      <x:c r="H377" s="37" t="str">
        <x:v>KPI có metric, unit và period rõ</x:v>
      </x:c>
      <x:c r="I377" s="38" t="str">
        <x:v>P0</x:v>
      </x:c>
      <x:c r="J377" s="38" t="str">
        <x:v>TODO</x:v>
      </x:c>
      <x:c r="K377" s="39" t="n">
        <x:f>IF(J377="DONE",1,IF(J377="REVIEW",0.8,IF(J377="DOING",0.5,0)))</x:f>
        <x:v>0</x:v>
      </x:c>
      <x:c r="L377" s="40"/>
      <x:c r="M377" s="40"/>
      <x:c r="N377" s="37" t="str"/>
    </x:row>
    <x:row r="378" ht="44" customHeight="1">
      <x:c r="A378" s="18" t="str">
        <x:v>P11-13</x:v>
      </x:c>
      <x:c r="B378" s="18" t="str">
        <x:v>Phase 11 - Dashboard</x:v>
      </x:c>
      <x:c r="C378" s="18" t="str">
        <x:v>Overview</x:v>
      </x:c>
      <x:c r="D378" s="37" t="str">
        <x:v>Tạo pollutant trend chart</x:v>
      </x:c>
      <x:c r="E378" s="38" t="str">
        <x:v>B</x:v>
      </x:c>
      <x:c r="F378" s="38" t="str">
        <x:v>A</x:v>
      </x:c>
      <x:c r="G378" s="37" t="str">
        <x:v>P11-11</x:v>
      </x:c>
      <x:c r="H378" s="37" t="str">
        <x:v>Trend đọc từ DWH/mart, axes và unit rõ</x:v>
      </x:c>
      <x:c r="I378" s="38" t="str">
        <x:v>P0</x:v>
      </x:c>
      <x:c r="J378" s="38" t="str">
        <x:v>TODO</x:v>
      </x:c>
      <x:c r="K378" s="39" t="n">
        <x:f>IF(J378="DONE",1,IF(J378="REVIEW",0.8,IF(J378="DOING",0.5,0)))</x:f>
        <x:v>0</x:v>
      </x:c>
      <x:c r="L378" s="40"/>
      <x:c r="M378" s="40"/>
      <x:c r="N378" s="37" t="str"/>
    </x:row>
    <x:row r="379" ht="44" customHeight="1">
      <x:c r="A379" s="18" t="str">
        <x:v>P11-14</x:v>
      </x:c>
      <x:c r="B379" s="18" t="str">
        <x:v>Phase 11 - Dashboard</x:v>
      </x:c>
      <x:c r="C379" s="18" t="str">
        <x:v>Overview</x:v>
      </x:c>
      <x:c r="D379" s="37" t="str">
        <x:v>Tạo station comparison/ranking chart</x:v>
      </x:c>
      <x:c r="E379" s="38" t="str">
        <x:v>B</x:v>
      </x:c>
      <x:c r="F379" s="38" t="str">
        <x:v>A</x:v>
      </x:c>
      <x:c r="G379" s="37" t="str">
        <x:v>P11-11</x:v>
      </x:c>
      <x:c r="H379" s="37" t="str">
        <x:v>Ranking dùng cùng period và aggregate definition</x:v>
      </x:c>
      <x:c r="I379" s="38" t="str">
        <x:v>P0</x:v>
      </x:c>
      <x:c r="J379" s="38" t="str">
        <x:v>TODO</x:v>
      </x:c>
      <x:c r="K379" s="39" t="n">
        <x:f>IF(J379="DONE",1,IF(J379="REVIEW",0.8,IF(J379="DOING",0.5,0)))</x:f>
        <x:v>0</x:v>
      </x:c>
      <x:c r="L379" s="40"/>
      <x:c r="M379" s="40"/>
      <x:c r="N379" s="37" t="str"/>
    </x:row>
    <x:row r="380" ht="44" customHeight="1">
      <x:c r="A380" s="18" t="str">
        <x:v>P11-15</x:v>
      </x:c>
      <x:c r="B380" s="18" t="str">
        <x:v>Phase 11 - Dashboard</x:v>
      </x:c>
      <x:c r="C380" s="18" t="str">
        <x:v>Overview</x:v>
      </x:c>
      <x:c r="D380" s="37" t="str">
        <x:v>Thêm data-quality note khi filter có missing đáng kể</x:v>
      </x:c>
      <x:c r="E380" s="38" t="str">
        <x:v>A</x:v>
      </x:c>
      <x:c r="F380" s="38" t="str">
        <x:v>B</x:v>
      </x:c>
      <x:c r="G380" s="37" t="str">
        <x:v>P11-12 đến P11-14</x:v>
      </x:c>
      <x:c r="H380" s="37" t="str">
        <x:v>Người xem biết limitation ảnh hưởng kết quả</x:v>
      </x:c>
      <x:c r="I380" s="38" t="str">
        <x:v>P1</x:v>
      </x:c>
      <x:c r="J380" s="38" t="str">
        <x:v>TODO</x:v>
      </x:c>
      <x:c r="K380" s="39" t="n">
        <x:f>IF(J380="DONE",1,IF(J380="REVIEW",0.8,IF(J380="DOING",0.5,0)))</x:f>
        <x:v>0</x:v>
      </x:c>
      <x:c r="L380" s="40"/>
      <x:c r="M380" s="40"/>
      <x:c r="N380" s="37" t="str"/>
    </x:row>
    <x:row r="381" ht="44" customHeight="1">
      <x:c r="A381" s="18" t="str">
        <x:v>P11-16</x:v>
      </x:c>
      <x:c r="B381" s="18" t="str">
        <x:v>Phase 11 - Dashboard</x:v>
      </x:c>
      <x:c r="C381" s="18" t="str">
        <x:v>Station page</x:v>
      </x:c>
      <x:c r="D381" s="37" t="str">
        <x:v>Tạo station profile và pollutant comparison</x:v>
      </x:c>
      <x:c r="E381" s="38" t="str">
        <x:v>B</x:v>
      </x:c>
      <x:c r="F381" s="38" t="str">
        <x:v>A</x:v>
      </x:c>
      <x:c r="G381" s="37" t="str">
        <x:v>P11-11</x:v>
      </x:c>
      <x:c r="H381" s="37" t="str">
        <x:v>So sánh station theo cùng filters</x:v>
      </x:c>
      <x:c r="I381" s="38" t="str">
        <x:v>P0</x:v>
      </x:c>
      <x:c r="J381" s="38" t="str">
        <x:v>TODO</x:v>
      </x:c>
      <x:c r="K381" s="39" t="n">
        <x:f>IF(J381="DONE",1,IF(J381="REVIEW",0.8,IF(J381="DOING",0.5,0)))</x:f>
        <x:v>0</x:v>
      </x:c>
      <x:c r="L381" s="40"/>
      <x:c r="M381" s="40"/>
      <x:c r="N381" s="37" t="str"/>
    </x:row>
    <x:row r="382" ht="44" customHeight="1">
      <x:c r="A382" s="18" t="str">
        <x:v>P11-17</x:v>
      </x:c>
      <x:c r="B382" s="18" t="str">
        <x:v>Phase 11 - Dashboard</x:v>
      </x:c>
      <x:c r="C382" s="18" t="str">
        <x:v>Station page</x:v>
      </x:c>
      <x:c r="D382" s="37" t="str">
        <x:v>Hiển thị station cluster assignment</x:v>
      </x:c>
      <x:c r="E382" s="38" t="str">
        <x:v>B</x:v>
      </x:c>
      <x:c r="F382" s="38" t="str">
        <x:v>A</x:v>
      </x:c>
      <x:c r="G382" s="37" t="str">
        <x:v>P9-27, P11-16</x:v>
      </x:c>
      <x:c r="H382" s="37" t="str">
        <x:v>Cluster, profile và mô tả trung tính hiển thị đúng</x:v>
      </x:c>
      <x:c r="I382" s="38" t="str">
        <x:v>P0</x:v>
      </x:c>
      <x:c r="J382" s="38" t="str">
        <x:v>TODO</x:v>
      </x:c>
      <x:c r="K382" s="39" t="n">
        <x:f>IF(J382="DONE",1,IF(J382="REVIEW",0.8,IF(J382="DOING",0.5,0)))</x:f>
        <x:v>0</x:v>
      </x:c>
      <x:c r="L382" s="40"/>
      <x:c r="M382" s="40"/>
      <x:c r="N382" s="37" t="str"/>
    </x:row>
    <x:row r="383" ht="44" customHeight="1">
      <x:c r="A383" s="18" t="str">
        <x:v>P11-18</x:v>
      </x:c>
      <x:c r="B383" s="18" t="str">
        <x:v>Phase 11 - Dashboard</x:v>
      </x:c>
      <x:c r="C383" s="18" t="str">
        <x:v>Station page</x:v>
      </x:c>
      <x:c r="D383" s="37" t="str">
        <x:v>Hiển thị cluster comparison chart</x:v>
      </x:c>
      <x:c r="E383" s="38" t="str">
        <x:v>B</x:v>
      </x:c>
      <x:c r="F383" s="38" t="str">
        <x:v>A</x:v>
      </x:c>
      <x:c r="G383" s="37" t="str">
        <x:v>P9-20, P11-17</x:v>
      </x:c>
      <x:c r="H383" s="37" t="str">
        <x:v>Người xem hiểu feature nào khác giữa cluster</x:v>
      </x:c>
      <x:c r="I383" s="38" t="str">
        <x:v>P1</x:v>
      </x:c>
      <x:c r="J383" s="38" t="str">
        <x:v>TODO</x:v>
      </x:c>
      <x:c r="K383" s="39" t="n">
        <x:f>IF(J383="DONE",1,IF(J383="REVIEW",0.8,IF(J383="DOING",0.5,0)))</x:f>
        <x:v>0</x:v>
      </x:c>
      <x:c r="L383" s="40"/>
      <x:c r="M383" s="40"/>
      <x:c r="N383" s="37" t="str"/>
    </x:row>
    <x:row r="384" ht="44" customHeight="1">
      <x:c r="A384" s="18" t="str">
        <x:v>P11-19</x:v>
      </x:c>
      <x:c r="B384" s="18" t="str">
        <x:v>Phase 11 - Dashboard</x:v>
      </x:c>
      <x:c r="C384" s="18" t="str">
        <x:v>Station map</x:v>
      </x:c>
      <x:c r="D384" s="37" t="str">
        <x:v>Chỉ thêm map nếu tọa độ 12 station đã xác minh</x:v>
      </x:c>
      <x:c r="E384" s="38" t="str">
        <x:v>B</x:v>
      </x:c>
      <x:c r="F384" s="38" t="str">
        <x:v>A</x:v>
      </x:c>
      <x:c r="G384" s="37" t="str">
        <x:v>P5-24, P11-16</x:v>
      </x:c>
      <x:c r="H384" s="37" t="str">
        <x:v>Không suy diễn station thành district</x:v>
      </x:c>
      <x:c r="I384" s="38" t="str">
        <x:v>P2</x:v>
      </x:c>
      <x:c r="J384" s="38" t="str">
        <x:v>TODO</x:v>
      </x:c>
      <x:c r="K384" s="39" t="n">
        <x:f>IF(J384="DONE",1,IF(J384="REVIEW",0.8,IF(J384="DOING",0.5,0)))</x:f>
        <x:v>0</x:v>
      </x:c>
      <x:c r="L384" s="40"/>
      <x:c r="M384" s="40"/>
      <x:c r="N384" s="37" t="str"/>
    </x:row>
    <x:row r="385" ht="44" customHeight="1">
      <x:c r="A385" s="18" t="str">
        <x:v>P11-20</x:v>
      </x:c>
      <x:c r="B385" s="18" t="str">
        <x:v>Phase 11 - Dashboard</x:v>
      </x:c>
      <x:c r="C385" s="18" t="str">
        <x:v>Weather page</x:v>
      </x:c>
      <x:c r="D385" s="37" t="str">
        <x:v>Tạo PM2.5–weather scatter/bin chart</x:v>
      </x:c>
      <x:c r="E385" s="38" t="str">
        <x:v>B</x:v>
      </x:c>
      <x:c r="F385" s="38" t="str">
        <x:v>A</x:v>
      </x:c>
      <x:c r="G385" s="37" t="str">
        <x:v>P8-25, P11-11</x:v>
      </x:c>
      <x:c r="H385" s="37" t="str">
        <x:v>Variable, unit, sample size và filter rõ</x:v>
      </x:c>
      <x:c r="I385" s="38" t="str">
        <x:v>P0</x:v>
      </x:c>
      <x:c r="J385" s="38" t="str">
        <x:v>TODO</x:v>
      </x:c>
      <x:c r="K385" s="39" t="n">
        <x:f>IF(J385="DONE",1,IF(J385="REVIEW",0.8,IF(J385="DOING",0.5,0)))</x:f>
        <x:v>0</x:v>
      </x:c>
      <x:c r="L385" s="40"/>
      <x:c r="M385" s="40"/>
      <x:c r="N385" s="37" t="str"/>
    </x:row>
    <x:row r="386" ht="44" customHeight="1">
      <x:c r="A386" s="18" t="str">
        <x:v>P11-21</x:v>
      </x:c>
      <x:c r="B386" s="18" t="str">
        <x:v>Phase 11 - Dashboard</x:v>
      </x:c>
      <x:c r="C386" s="18" t="str">
        <x:v>Weather page</x:v>
      </x:c>
      <x:c r="D386" s="37" t="str">
        <x:v>Tạo weather/PM2.5 time-series comparison</x:v>
      </x:c>
      <x:c r="E386" s="38" t="str">
        <x:v>B</x:v>
      </x:c>
      <x:c r="F386" s="38" t="str">
        <x:v>A</x:v>
      </x:c>
      <x:c r="G386" s="37" t="str">
        <x:v>P11-20</x:v>
      </x:c>
      <x:c r="H386" s="37" t="str">
        <x:v>Hai series căn cùng timestamp; scale không gây hiểu sai</x:v>
      </x:c>
      <x:c r="I386" s="38" t="str">
        <x:v>P1</x:v>
      </x:c>
      <x:c r="J386" s="38" t="str">
        <x:v>TODO</x:v>
      </x:c>
      <x:c r="K386" s="39" t="n">
        <x:f>IF(J386="DONE",1,IF(J386="REVIEW",0.8,IF(J386="DOING",0.5,0)))</x:f>
        <x:v>0</x:v>
      </x:c>
      <x:c r="L386" s="40"/>
      <x:c r="M386" s="40"/>
      <x:c r="N386" s="37" t="str"/>
    </x:row>
    <x:row r="387" ht="44" customHeight="1">
      <x:c r="A387" s="18" t="str">
        <x:v>P11-22</x:v>
      </x:c>
      <x:c r="B387" s="18" t="str">
        <x:v>Phase 11 - Dashboard</x:v>
      </x:c>
      <x:c r="C387" s="18" t="str">
        <x:v>Weather page</x:v>
      </x:c>
      <x:c r="D387" s="37" t="str">
        <x:v>Hiển thị Open-Meteo enrichment theo scope đã chốt</x:v>
      </x:c>
      <x:c r="E387" s="38" t="str">
        <x:v>B</x:v>
      </x:c>
      <x:c r="F387" s="38" t="str">
        <x:v>A</x:v>
      </x:c>
      <x:c r="G387" s="37" t="str">
        <x:v>P5-23, P11-20</x:v>
      </x:c>
      <x:c r="H387" s="37" t="str">
        <x:v>Không trình bày biến bị loại ở Decision Gate</x:v>
      </x:c>
      <x:c r="I387" s="38" t="str">
        <x:v>P1</x:v>
      </x:c>
      <x:c r="J387" s="38" t="str">
        <x:v>TODO</x:v>
      </x:c>
      <x:c r="K387" s="39" t="n">
        <x:f>IF(J387="DONE",1,IF(J387="REVIEW",0.8,IF(J387="DOING",0.5,0)))</x:f>
        <x:v>0</x:v>
      </x:c>
      <x:c r="L387" s="40"/>
      <x:c r="M387" s="40"/>
      <x:c r="N387" s="37" t="str"/>
    </x:row>
    <x:row r="388" ht="44" customHeight="1">
      <x:c r="A388" s="18" t="str">
        <x:v>P11-23</x:v>
      </x:c>
      <x:c r="B388" s="18" t="str">
        <x:v>Phase 11 - Dashboard</x:v>
      </x:c>
      <x:c r="C388" s="18" t="str">
        <x:v>Prediction page</x:v>
      </x:c>
      <x:c r="D388" s="37" t="str">
        <x:v>Tạo model selector hoặc hiển thị final model version</x:v>
      </x:c>
      <x:c r="E388" s="38" t="str">
        <x:v>B</x:v>
      </x:c>
      <x:c r="F388" s="38" t="str">
        <x:v>A</x:v>
      </x:c>
      <x:c r="G388" s="37" t="str">
        <x:v>P10-44, P10-46</x:v>
      </x:c>
      <x:c r="H388" s="37" t="str">
        <x:v>Model name/version và test period rõ</x:v>
      </x:c>
      <x:c r="I388" s="38" t="str">
        <x:v>P0</x:v>
      </x:c>
      <x:c r="J388" s="38" t="str">
        <x:v>TODO</x:v>
      </x:c>
      <x:c r="K388" s="39" t="n">
        <x:f>IF(J388="DONE",1,IF(J388="REVIEW",0.8,IF(J388="DOING",0.5,0)))</x:f>
        <x:v>0</x:v>
      </x:c>
      <x:c r="L388" s="40"/>
      <x:c r="M388" s="40"/>
      <x:c r="N388" s="37" t="str"/>
    </x:row>
    <x:row r="389" ht="44" customHeight="1">
      <x:c r="A389" s="18" t="str">
        <x:v>P11-24</x:v>
      </x:c>
      <x:c r="B389" s="18" t="str">
        <x:v>Phase 11 - Dashboard</x:v>
      </x:c>
      <x:c r="C389" s="18" t="str">
        <x:v>Prediction page</x:v>
      </x:c>
      <x:c r="D389" s="37" t="str">
        <x:v>Tạo actual-vs-predicted chart</x:v>
      </x:c>
      <x:c r="E389" s="38" t="str">
        <x:v>B</x:v>
      </x:c>
      <x:c r="F389" s="38" t="str">
        <x:v>A</x:v>
      </x:c>
      <x:c r="G389" s="37" t="str">
        <x:v>P10-45, P11-23</x:v>
      </x:c>
      <x:c r="H389" s="37" t="str">
        <x:v>Join theo station/target_time đúng</x:v>
      </x:c>
      <x:c r="I389" s="38" t="str">
        <x:v>P0</x:v>
      </x:c>
      <x:c r="J389" s="38" t="str">
        <x:v>TODO</x:v>
      </x:c>
      <x:c r="K389" s="39" t="n">
        <x:f>IF(J389="DONE",1,IF(J389="REVIEW",0.8,IF(J389="DOING",0.5,0)))</x:f>
        <x:v>0</x:v>
      </x:c>
      <x:c r="L389" s="40"/>
      <x:c r="M389" s="40"/>
      <x:c r="N389" s="37" t="str"/>
    </x:row>
    <x:row r="390" ht="44" customHeight="1">
      <x:c r="A390" s="18" t="str">
        <x:v>P11-25</x:v>
      </x:c>
      <x:c r="B390" s="18" t="str">
        <x:v>Phase 11 - Dashboard</x:v>
      </x:c>
      <x:c r="C390" s="18" t="str">
        <x:v>Prediction page</x:v>
      </x:c>
      <x:c r="D390" s="37" t="str">
        <x:v>Hiển thị MAE, RMSE, R² và persistence baseline</x:v>
      </x:c>
      <x:c r="E390" s="38" t="str">
        <x:v>B</x:v>
      </x:c>
      <x:c r="F390" s="38" t="str">
        <x:v>A</x:v>
      </x:c>
      <x:c r="G390" s="37" t="str">
        <x:v>P10-36, P11-23</x:v>
      </x:c>
      <x:c r="H390" s="37" t="str">
        <x:v>Metric cùng sample; baseline không bị ẩn</x:v>
      </x:c>
      <x:c r="I390" s="38" t="str">
        <x:v>P0</x:v>
      </x:c>
      <x:c r="J390" s="38" t="str">
        <x:v>TODO</x:v>
      </x:c>
      <x:c r="K390" s="39" t="n">
        <x:f>IF(J390="DONE",1,IF(J390="REVIEW",0.8,IF(J390="DOING",0.5,0)))</x:f>
        <x:v>0</x:v>
      </x:c>
      <x:c r="L390" s="40"/>
      <x:c r="M390" s="40"/>
      <x:c r="N390" s="37" t="str"/>
    </x:row>
    <x:row r="391" ht="44" customHeight="1">
      <x:c r="A391" s="18" t="str">
        <x:v>P11-26</x:v>
      </x:c>
      <x:c r="B391" s="18" t="str">
        <x:v>Phase 11 - Dashboard</x:v>
      </x:c>
      <x:c r="C391" s="18" t="str">
        <x:v>Prediction page</x:v>
      </x:c>
      <x:c r="D391" s="37" t="str">
        <x:v>Tạo error view theo station/date</x:v>
      </x:c>
      <x:c r="E391" s="38" t="str">
        <x:v>B</x:v>
      </x:c>
      <x:c r="F391" s="38" t="str">
        <x:v>A</x:v>
      </x:c>
      <x:c r="G391" s="37" t="str">
        <x:v>P10-37 đến P10-40</x:v>
      </x:c>
      <x:c r="H391" s="37" t="str">
        <x:v>Filter thay đổi error table/chart đúng</x:v>
      </x:c>
      <x:c r="I391" s="38" t="str">
        <x:v>P1</x:v>
      </x:c>
      <x:c r="J391" s="38" t="str">
        <x:v>TODO</x:v>
      </x:c>
      <x:c r="K391" s="39" t="n">
        <x:f>IF(J391="DONE",1,IF(J391="REVIEW",0.8,IF(J391="DOING",0.5,0)))</x:f>
        <x:v>0</x:v>
      </x:c>
      <x:c r="L391" s="40"/>
      <x:c r="M391" s="40"/>
      <x:c r="N391" s="37" t="str"/>
    </x:row>
    <x:row r="392" ht="44" customHeight="1">
      <x:c r="A392" s="18" t="str">
        <x:v>P11-27</x:v>
      </x:c>
      <x:c r="B392" s="18" t="str">
        <x:v>Phase 11 - Dashboard</x:v>
      </x:c>
      <x:c r="C392" s="18" t="str">
        <x:v>Empty states</x:v>
      </x:c>
      <x:c r="D392" s="37" t="str">
        <x:v>Xử lý trường hợp filter không có dữ liệu</x:v>
      </x:c>
      <x:c r="E392" s="38" t="str">
        <x:v>A</x:v>
      </x:c>
      <x:c r="F392" s="38" t="str">
        <x:v>B</x:v>
      </x:c>
      <x:c r="G392" s="37" t="str">
        <x:v>P11-11</x:v>
      </x:c>
      <x:c r="H392" s="37" t="str">
        <x:v>Hiển thị thông báo rõ, không crash hoặc chart rỗng khó hiểu</x:v>
      </x:c>
      <x:c r="I392" s="38" t="str">
        <x:v>P0</x:v>
      </x:c>
      <x:c r="J392" s="38" t="str">
        <x:v>TODO</x:v>
      </x:c>
      <x:c r="K392" s="39" t="n">
        <x:f>IF(J392="DONE",1,IF(J392="REVIEW",0.8,IF(J392="DOING",0.5,0)))</x:f>
        <x:v>0</x:v>
      </x:c>
      <x:c r="L392" s="40"/>
      <x:c r="M392" s="40"/>
      <x:c r="N392" s="37" t="str"/>
    </x:row>
    <x:row r="393" ht="44" customHeight="1">
      <x:c r="A393" s="18" t="str">
        <x:v>P11-28</x:v>
      </x:c>
      <x:c r="B393" s="18" t="str">
        <x:v>Phase 11 - Dashboard</x:v>
      </x:c>
      <x:c r="C393" s="18" t="str">
        <x:v>Error handling</x:v>
      </x:c>
      <x:c r="D393" s="37" t="str">
        <x:v>Xử lý lỗi kết nối/query an toàn</x:v>
      </x:c>
      <x:c r="E393" s="38" t="str">
        <x:v>A</x:v>
      </x:c>
      <x:c r="F393" s="38" t="str">
        <x:v>B</x:v>
      </x:c>
      <x:c r="G393" s="37" t="str">
        <x:v>P11-05, P11-06</x:v>
      </x:c>
      <x:c r="H393" s="37" t="str">
        <x:v>Không lộ password; lỗi có hướng xử lý</x:v>
      </x:c>
      <x:c r="I393" s="38" t="str">
        <x:v>P1</x:v>
      </x:c>
      <x:c r="J393" s="38" t="str">
        <x:v>TODO</x:v>
      </x:c>
      <x:c r="K393" s="39" t="n">
        <x:f>IF(J393="DONE",1,IF(J393="REVIEW",0.8,IF(J393="DOING",0.5,0)))</x:f>
        <x:v>0</x:v>
      </x:c>
      <x:c r="L393" s="40"/>
      <x:c r="M393" s="40"/>
      <x:c r="N393" s="37" t="str"/>
    </x:row>
    <x:row r="394" ht="44" customHeight="1">
      <x:c r="A394" s="18" t="str">
        <x:v>P11-29</x:v>
      </x:c>
      <x:c r="B394" s="18" t="str">
        <x:v>Phase 11 - Dashboard</x:v>
      </x:c>
      <x:c r="C394" s="18" t="str">
        <x:v>Performance</x:v>
      </x:c>
      <x:c r="D394" s="37" t="str">
        <x:v>Đo thời gian tải các trang chính</x:v>
      </x:c>
      <x:c r="E394" s="38" t="str">
        <x:v>A</x:v>
      </x:c>
      <x:c r="F394" s="38" t="str">
        <x:v>B</x:v>
      </x:c>
      <x:c r="G394" s="37" t="str">
        <x:v>P11-12 đến P11-26</x:v>
      </x:c>
      <x:c r="H394" s="37" t="str">
        <x:v>Tối ưu query/cache nếu chậm; không tối ưu vô căn cứ</x:v>
      </x:c>
      <x:c r="I394" s="38" t="str">
        <x:v>P1</x:v>
      </x:c>
      <x:c r="J394" s="38" t="str">
        <x:v>TODO</x:v>
      </x:c>
      <x:c r="K394" s="39" t="n">
        <x:f>IF(J394="DONE",1,IF(J394="REVIEW",0.8,IF(J394="DOING",0.5,0)))</x:f>
        <x:v>0</x:v>
      </x:c>
      <x:c r="L394" s="40"/>
      <x:c r="M394" s="40"/>
      <x:c r="N394" s="37" t="str"/>
    </x:row>
    <x:row r="395" ht="44" customHeight="1">
      <x:c r="A395" s="18" t="str">
        <x:v>P11-30</x:v>
      </x:c>
      <x:c r="B395" s="18" t="str">
        <x:v>Phase 11 - Dashboard</x:v>
      </x:c>
      <x:c r="C395" s="18" t="str">
        <x:v>Visual QA</x:v>
      </x:c>
      <x:c r="D395" s="37" t="str">
        <x:v>Rà title, labels, units, colors và responsive layout</x:v>
      </x:c>
      <x:c r="E395" s="38" t="str">
        <x:v>A+B</x:v>
      </x:c>
      <x:c r="F395" s="38" t="str">
        <x:v>A+B</x:v>
      </x:c>
      <x:c r="G395" s="37" t="str">
        <x:v>P11-12 đến P11-29</x:v>
      </x:c>
      <x:c r="H395" s="37" t="str">
        <x:v>Charts dễ đọc trên màn hình demo</x:v>
      </x:c>
      <x:c r="I395" s="38" t="str">
        <x:v>P0</x:v>
      </x:c>
      <x:c r="J395" s="38" t="str">
        <x:v>TODO</x:v>
      </x:c>
      <x:c r="K395" s="39" t="n">
        <x:f>IF(J395="DONE",1,IF(J395="REVIEW",0.8,IF(J395="DOING",0.5,0)))</x:f>
        <x:v>0</x:v>
      </x:c>
      <x:c r="L395" s="40"/>
      <x:c r="M395" s="40"/>
      <x:c r="N395" s="37" t="str"/>
    </x:row>
    <x:row r="396" ht="44" customHeight="1">
      <x:c r="A396" s="18" t="str">
        <x:v>P11-31</x:v>
      </x:c>
      <x:c r="B396" s="18" t="str">
        <x:v>Phase 11 - Dashboard</x:v>
      </x:c>
      <x:c r="C396" s="18" t="str">
        <x:v>Data QA</x:v>
      </x:c>
      <x:c r="D396" s="37" t="str">
        <x:v>Spot-check dashboard value với SQL độc lập</x:v>
      </x:c>
      <x:c r="E396" s="38" t="str">
        <x:v>A</x:v>
      </x:c>
      <x:c r="F396" s="38" t="str">
        <x:v>B</x:v>
      </x:c>
      <x:c r="G396" s="37" t="str">
        <x:v>P11-12 đến P11-26</x:v>
      </x:c>
      <x:c r="H396" s="37" t="str">
        <x:v>KPI và chart sample khớp query nguồn</x:v>
      </x:c>
      <x:c r="I396" s="38" t="str">
        <x:v>P0</x:v>
      </x:c>
      <x:c r="J396" s="38" t="str">
        <x:v>TODO</x:v>
      </x:c>
      <x:c r="K396" s="39" t="n">
        <x:f>IF(J396="DONE",1,IF(J396="REVIEW",0.8,IF(J396="DOING",0.5,0)))</x:f>
        <x:v>0</x:v>
      </x:c>
      <x:c r="L396" s="40"/>
      <x:c r="M396" s="40"/>
      <x:c r="N396" s="37" t="str"/>
    </x:row>
    <x:row r="397" ht="44" customHeight="1">
      <x:c r="A397" s="18" t="str">
        <x:v>P11-32</x:v>
      </x:c>
      <x:c r="B397" s="18" t="str">
        <x:v>Phase 11 - Dashboard</x:v>
      </x:c>
      <x:c r="C397" s="18" t="str">
        <x:v>Gate E</x:v>
      </x:c>
      <x:c r="D397" s="37" t="str">
        <x:v>Xác nhận dashboard không đọc raw CSV cho kết quả chính</x:v>
      </x:c>
      <x:c r="E397" s="38" t="str">
        <x:v>A+B</x:v>
      </x:c>
      <x:c r="F397" s="38" t="str">
        <x:v>A+B</x:v>
      </x:c>
      <x:c r="G397" s="37" t="str">
        <x:v>P11-31</x:v>
      </x:c>
      <x:c r="H397" s="37" t="str">
        <x:v>Tất cả output chính truy vết tới DWH/marts</x:v>
      </x:c>
      <x:c r="I397" s="38" t="str">
        <x:v>P0</x:v>
      </x:c>
      <x:c r="J397" s="38" t="str">
        <x:v>TODO</x:v>
      </x:c>
      <x:c r="K397" s="39" t="n">
        <x:f>IF(J397="DONE",1,IF(J397="REVIEW",0.8,IF(J397="DOING",0.5,0)))</x:f>
        <x:v>0</x:v>
      </x:c>
      <x:c r="L397" s="40"/>
      <x:c r="M397" s="40"/>
      <x:c r="N397" s="37" t="str"/>
    </x:row>
    <x:row r="398" ht="44" customHeight="1">
      <x:c r="A398" s="18" t="str">
        <x:v>P11-33</x:v>
      </x:c>
      <x:c r="B398" s="18" t="str">
        <x:v>Phase 11 - Dashboard</x:v>
      </x:c>
      <x:c r="C398" s="18" t="str">
        <x:v>Tái tạo</x:v>
      </x:c>
      <x:c r="D398" s="37" t="str">
        <x:v>Thành viên A tự chạy dashboard và kiểm tra filters</x:v>
      </x:c>
      <x:c r="E398" s="38" t="str">
        <x:v>A</x:v>
      </x:c>
      <x:c r="F398" s="38" t="str">
        <x:v>B</x:v>
      </x:c>
      <x:c r="G398" s="37" t="str">
        <x:v>P11-32</x:v>
      </x:c>
      <x:c r="H398" s="37" t="str">
        <x:v>Dashboard chạy từ repo và .env</x:v>
      </x:c>
      <x:c r="I398" s="38" t="str">
        <x:v>P1</x:v>
      </x:c>
      <x:c r="J398" s="38" t="str">
        <x:v>TODO</x:v>
      </x:c>
      <x:c r="K398" s="39" t="n">
        <x:f>IF(J398="DONE",1,IF(J398="REVIEW",0.8,IF(J398="DOING",0.5,0)))</x:f>
        <x:v>0</x:v>
      </x:c>
      <x:c r="L398" s="40"/>
      <x:c r="M398" s="40"/>
      <x:c r="N398" s="37" t="str"/>
    </x:row>
    <x:row r="399" ht="44" customHeight="1">
      <x:c r="A399" s="18" t="str">
        <x:v>P11-34</x:v>
      </x:c>
      <x:c r="B399" s="18" t="str">
        <x:v>Phase 11 - Dashboard</x:v>
      </x:c>
      <x:c r="C399" s="18" t="str">
        <x:v>Checkpoint</x:v>
      </x:c>
      <x:c r="D399" s="37" t="str">
        <x:v>Cập nhật README, evidence và PROGRESS.md Phase 11</x:v>
      </x:c>
      <x:c r="E399" s="38" t="str">
        <x:v>A+B</x:v>
      </x:c>
      <x:c r="F399" s="38" t="str">
        <x:v>A+B</x:v>
      </x:c>
      <x:c r="G399" s="37" t="str">
        <x:v>P11-33</x:v>
      </x:c>
      <x:c r="H399" s="37" t="str">
        <x:v>Ảnh thật của 4 trang và data access được ghi lại</x:v>
      </x:c>
      <x:c r="I399" s="38" t="str">
        <x:v>P0</x:v>
      </x:c>
      <x:c r="J399" s="38" t="str">
        <x:v>TODO</x:v>
      </x:c>
      <x:c r="K399" s="39" t="n">
        <x:f>IF(J399="DONE",1,IF(J399="REVIEW",0.8,IF(J399="DOING",0.5,0)))</x:f>
        <x:v>0</x:v>
      </x:c>
      <x:c r="L399" s="40"/>
      <x:c r="M399" s="40"/>
      <x:c r="N399" s="37" t="str"/>
    </x:row>
    <x:row r="400" ht="44" customHeight="1">
      <x:c r="A400" s="18" t="str">
        <x:v>P12-01</x:v>
      </x:c>
      <x:c r="B400" s="18" t="str">
        <x:v>Phase 12 - Hardening</x:v>
      </x:c>
      <x:c r="C400" s="18" t="str">
        <x:v>Điều kiện đầu vào</x:v>
      </x:c>
      <x:c r="D400" s="37" t="str">
        <x:v>Xác nhận tất cả module P0 từ source đến dashboard đã tồn tại</x:v>
      </x:c>
      <x:c r="E400" s="38" t="str">
        <x:v>A+B</x:v>
      </x:c>
      <x:c r="F400" s="38" t="str">
        <x:v>A+B</x:v>
      </x:c>
      <x:c r="G400" s="37" t="str">
        <x:v>P11-34</x:v>
      </x:c>
      <x:c r="H400" s="37" t="str">
        <x:v>Không bắt đầu hardening khi pipeline chính còn thiếu</x:v>
      </x:c>
      <x:c r="I400" s="38" t="str">
        <x:v>P0</x:v>
      </x:c>
      <x:c r="J400" s="38" t="str">
        <x:v>TODO</x:v>
      </x:c>
      <x:c r="K400" s="39" t="n">
        <x:f>IF(J400="DONE",1,IF(J400="REVIEW",0.8,IF(J400="DOING",0.5,0)))</x:f>
        <x:v>0</x:v>
      </x:c>
      <x:c r="L400" s="40"/>
      <x:c r="M400" s="40"/>
      <x:c r="N400" s="37" t="str"/>
    </x:row>
    <x:row r="401" ht="44" customHeight="1">
      <x:c r="A401" s="18" t="str">
        <x:v>P12-02</x:v>
      </x:c>
      <x:c r="B401" s="18" t="str">
        <x:v>Phase 12 - Hardening</x:v>
      </x:c>
      <x:c r="C401" s="18" t="str">
        <x:v>Test plan</x:v>
      </x:c>
      <x:c r="D401" s="37" t="str">
        <x:v>Lập ma trận test end-to-end và owner</x:v>
      </x:c>
      <x:c r="E401" s="38" t="str">
        <x:v>A+B</x:v>
      </x:c>
      <x:c r="F401" s="38" t="str">
        <x:v>A+B</x:v>
      </x:c>
      <x:c r="G401" s="37" t="str">
        <x:v>P12-01</x:v>
      </x:c>
      <x:c r="H401" s="37" t="str">
        <x:v>Có happy path, rerun, failure, recovery và evidence cần lưu</x:v>
      </x:c>
      <x:c r="I401" s="38" t="str">
        <x:v>P0</x:v>
      </x:c>
      <x:c r="J401" s="38" t="str">
        <x:v>TODO</x:v>
      </x:c>
      <x:c r="K401" s="39" t="n">
        <x:f>IF(J401="DONE",1,IF(J401="REVIEW",0.8,IF(J401="DOING",0.5,0)))</x:f>
        <x:v>0</x:v>
      </x:c>
      <x:c r="L401" s="40"/>
      <x:c r="M401" s="40"/>
      <x:c r="N401" s="37" t="str"/>
    </x:row>
    <x:row r="402" ht="44" customHeight="1">
      <x:c r="A402" s="18" t="str">
        <x:v>P12-03</x:v>
      </x:c>
      <x:c r="B402" s="18" t="str">
        <x:v>Phase 12 - Hardening</x:v>
      </x:c>
      <x:c r="C402" s="18" t="str">
        <x:v>Fresh setup</x:v>
      </x:c>
      <x:c r="D402" s="37" t="str">
        <x:v>Chuẩn bị máy/môi trường sạch để test dựng lại</x:v>
      </x:c>
      <x:c r="E402" s="38" t="str">
        <x:v>A</x:v>
      </x:c>
      <x:c r="F402" s="38" t="str">
        <x:v>B</x:v>
      </x:c>
      <x:c r="G402" s="37" t="str">
        <x:v>P12-02</x:v>
      </x:c>
      <x:c r="H402" s="37" t="str">
        <x:v>Không dựa vào container/volume cũ không rõ trạng thái</x:v>
      </x:c>
      <x:c r="I402" s="38" t="str">
        <x:v>P0</x:v>
      </x:c>
      <x:c r="J402" s="38" t="str">
        <x:v>TODO</x:v>
      </x:c>
      <x:c r="K402" s="39" t="n">
        <x:f>IF(J402="DONE",1,IF(J402="REVIEW",0.8,IF(J402="DOING",0.5,0)))</x:f>
        <x:v>0</x:v>
      </x:c>
      <x:c r="L402" s="40"/>
      <x:c r="M402" s="40"/>
      <x:c r="N402" s="37" t="str"/>
    </x:row>
    <x:row r="403" ht="44" customHeight="1">
      <x:c r="A403" s="18" t="str">
        <x:v>P12-04</x:v>
      </x:c>
      <x:c r="B403" s="18" t="str">
        <x:v>Phase 12 - Hardening</x:v>
      </x:c>
      <x:c r="C403" s="18" t="str">
        <x:v>Fresh setup</x:v>
      </x:c>
      <x:c r="D403" s="37" t="str">
        <x:v>Clone repo và tạo .env từ .env.example</x:v>
      </x:c>
      <x:c r="E403" s="38" t="str">
        <x:v>B</x:v>
      </x:c>
      <x:c r="F403" s="38" t="str">
        <x:v>A</x:v>
      </x:c>
      <x:c r="G403" s="37" t="str">
        <x:v>P12-03</x:v>
      </x:c>
      <x:c r="H403" s="37" t="str">
        <x:v>Không cần hỏi secret/config không được document</x:v>
      </x:c>
      <x:c r="I403" s="38" t="str">
        <x:v>P0</x:v>
      </x:c>
      <x:c r="J403" s="38" t="str">
        <x:v>TODO</x:v>
      </x:c>
      <x:c r="K403" s="39" t="n">
        <x:f>IF(J403="DONE",1,IF(J403="REVIEW",0.8,IF(J403="DOING",0.5,0)))</x:f>
        <x:v>0</x:v>
      </x:c>
      <x:c r="L403" s="40"/>
      <x:c r="M403" s="40"/>
      <x:c r="N403" s="37" t="str"/>
    </x:row>
    <x:row r="404" ht="44" customHeight="1">
      <x:c r="A404" s="18" t="str">
        <x:v>P12-05</x:v>
      </x:c>
      <x:c r="B404" s="18" t="str">
        <x:v>Phase 12 - Hardening</x:v>
      </x:c>
      <x:c r="C404" s="18" t="str">
        <x:v>Fresh setup</x:v>
      </x:c>
      <x:c r="D404" s="37" t="str">
        <x:v>Dựng toàn bộ Docker services từ repo</x:v>
      </x:c>
      <x:c r="E404" s="38" t="str">
        <x:v>B</x:v>
      </x:c>
      <x:c r="F404" s="38" t="str">
        <x:v>A</x:v>
      </x:c>
      <x:c r="G404" s="37" t="str">
        <x:v>P12-04</x:v>
      </x:c>
      <x:c r="H404" s="37" t="str">
        <x:v>PostgreSQL, MinIO và Airflow healthy</x:v>
      </x:c>
      <x:c r="I404" s="38" t="str">
        <x:v>P0</x:v>
      </x:c>
      <x:c r="J404" s="38" t="str">
        <x:v>TODO</x:v>
      </x:c>
      <x:c r="K404" s="39" t="n">
        <x:f>IF(J404="DONE",1,IF(J404="REVIEW",0.8,IF(J404="DOING",0.5,0)))</x:f>
        <x:v>0</x:v>
      </x:c>
      <x:c r="L404" s="40"/>
      <x:c r="M404" s="40"/>
      <x:c r="N404" s="37" t="str"/>
    </x:row>
    <x:row r="405" ht="44" customHeight="1">
      <x:c r="A405" s="18" t="str">
        <x:v>P12-06</x:v>
      </x:c>
      <x:c r="B405" s="18" t="str">
        <x:v>Phase 12 - Hardening</x:v>
      </x:c>
      <x:c r="C405" s="18" t="str">
        <x:v>Fresh setup</x:v>
      </x:c>
      <x:c r="D405" s="37" t="str">
        <x:v>Khởi tạo schema, bucket và dbt project tự động</x:v>
      </x:c>
      <x:c r="E405" s="38" t="str">
        <x:v>B</x:v>
      </x:c>
      <x:c r="F405" s="38" t="str">
        <x:v>A</x:v>
      </x:c>
      <x:c r="G405" s="37" t="str">
        <x:v>P12-05</x:v>
      </x:c>
      <x:c r="H405" s="37" t="str">
        <x:v>Không phụ thuộc thao tác tay bị quên</x:v>
      </x:c>
      <x:c r="I405" s="38" t="str">
        <x:v>P0</x:v>
      </x:c>
      <x:c r="J405" s="38" t="str">
        <x:v>TODO</x:v>
      </x:c>
      <x:c r="K405" s="39" t="n">
        <x:f>IF(J405="DONE",1,IF(J405="REVIEW",0.8,IF(J405="DOING",0.5,0)))</x:f>
        <x:v>0</x:v>
      </x:c>
      <x:c r="L405" s="40"/>
      <x:c r="M405" s="40"/>
      <x:c r="N405" s="37" t="str"/>
    </x:row>
    <x:row r="406" ht="44" customHeight="1">
      <x:c r="A406" s="18" t="str">
        <x:v>P12-07</x:v>
      </x:c>
      <x:c r="B406" s="18" t="str">
        <x:v>Phase 12 - Hardening</x:v>
      </x:c>
      <x:c r="C406" s="18" t="str">
        <x:v>End-to-end</x:v>
      </x:c>
      <x:c r="D406" s="37" t="str">
        <x:v>Chạy pipeline 1 station từ source đến DWH</x:v>
      </x:c>
      <x:c r="E406" s="38" t="str">
        <x:v>A+B</x:v>
      </x:c>
      <x:c r="F406" s="38" t="str">
        <x:v>A+B</x:v>
      </x:c>
      <x:c r="G406" s="37" t="str">
        <x:v>P12-06</x:v>
      </x:c>
      <x:c r="H406" s="37" t="str">
        <x:v>Airflow tasks success và row counts reconciled</x:v>
      </x:c>
      <x:c r="I406" s="38" t="str">
        <x:v>P0</x:v>
      </x:c>
      <x:c r="J406" s="38" t="str">
        <x:v>TODO</x:v>
      </x:c>
      <x:c r="K406" s="39" t="n">
        <x:f>IF(J406="DONE",1,IF(J406="REVIEW",0.8,IF(J406="DOING",0.5,0)))</x:f>
        <x:v>0</x:v>
      </x:c>
      <x:c r="L406" s="40"/>
      <x:c r="M406" s="40"/>
      <x:c r="N406" s="37" t="str"/>
    </x:row>
    <x:row r="407" ht="44" customHeight="1">
      <x:c r="A407" s="18" t="str">
        <x:v>P12-08</x:v>
      </x:c>
      <x:c r="B407" s="18" t="str">
        <x:v>Phase 12 - Hardening</x:v>
      </x:c>
      <x:c r="C407" s="18" t="str">
        <x:v>End-to-end</x:v>
      </x:c>
      <x:c r="D407" s="37" t="str">
        <x:v>Chạy pipeline đủ 12 station</x:v>
      </x:c>
      <x:c r="E407" s="38" t="str">
        <x:v>A+B</x:v>
      </x:c>
      <x:c r="F407" s="38" t="str">
        <x:v>A+B</x:v>
      </x:c>
      <x:c r="G407" s="37" t="str">
        <x:v>P12-07</x:v>
      </x:c>
      <x:c r="H407" s="37" t="str">
        <x:v>Full warehouse và marts được tạo</x:v>
      </x:c>
      <x:c r="I407" s="38" t="str">
        <x:v>P0</x:v>
      </x:c>
      <x:c r="J407" s="38" t="str">
        <x:v>TODO</x:v>
      </x:c>
      <x:c r="K407" s="39" t="n">
        <x:f>IF(J407="DONE",1,IF(J407="REVIEW",0.8,IF(J407="DOING",0.5,0)))</x:f>
        <x:v>0</x:v>
      </x:c>
      <x:c r="L407" s="40"/>
      <x:c r="M407" s="40"/>
      <x:c r="N407" s="37" t="str"/>
    </x:row>
    <x:row r="408" ht="44" customHeight="1">
      <x:c r="A408" s="18" t="str">
        <x:v>P12-09</x:v>
      </x:c>
      <x:c r="B408" s="18" t="str">
        <x:v>Phase 12 - Hardening</x:v>
      </x:c>
      <x:c r="C408" s="18" t="str">
        <x:v>End-to-end</x:v>
      </x:c>
      <x:c r="D408" s="37" t="str">
        <x:v>Chạy clustering và forecasting từ DWH</x:v>
      </x:c>
      <x:c r="E408" s="38" t="str">
        <x:v>B</x:v>
      </x:c>
      <x:c r="F408" s="38" t="str">
        <x:v>A</x:v>
      </x:c>
      <x:c r="G408" s="37" t="str">
        <x:v>P12-08</x:v>
      </x:c>
      <x:c r="H408" s="37" t="str">
        <x:v>Model artifacts và outputs được tái tạo</x:v>
      </x:c>
      <x:c r="I408" s="38" t="str">
        <x:v>P0</x:v>
      </x:c>
      <x:c r="J408" s="38" t="str">
        <x:v>TODO</x:v>
      </x:c>
      <x:c r="K408" s="39" t="n">
        <x:f>IF(J408="DONE",1,IF(J408="REVIEW",0.8,IF(J408="DOING",0.5,0)))</x:f>
        <x:v>0</x:v>
      </x:c>
      <x:c r="L408" s="40"/>
      <x:c r="M408" s="40"/>
      <x:c r="N408" s="37" t="str"/>
    </x:row>
    <x:row r="409" ht="44" customHeight="1">
      <x:c r="A409" s="18" t="str">
        <x:v>P12-10</x:v>
      </x:c>
      <x:c r="B409" s="18" t="str">
        <x:v>Phase 12 - Hardening</x:v>
      </x:c>
      <x:c r="C409" s="18" t="str">
        <x:v>End-to-end</x:v>
      </x:c>
      <x:c r="D409" s="37" t="str">
        <x:v>Mở dashboard và kiểm tra output mới</x:v>
      </x:c>
      <x:c r="E409" s="38" t="str">
        <x:v>A</x:v>
      </x:c>
      <x:c r="F409" s="38" t="str">
        <x:v>B</x:v>
      </x:c>
      <x:c r="G409" s="37" t="str">
        <x:v>P12-09</x:v>
      </x:c>
      <x:c r="H409" s="37" t="str">
        <x:v>Dashboard đọc dữ liệu của lần chạy vừa tạo</x:v>
      </x:c>
      <x:c r="I409" s="38" t="str">
        <x:v>P0</x:v>
      </x:c>
      <x:c r="J409" s="38" t="str">
        <x:v>TODO</x:v>
      </x:c>
      <x:c r="K409" s="39" t="n">
        <x:f>IF(J409="DONE",1,IF(J409="REVIEW",0.8,IF(J409="DOING",0.5,0)))</x:f>
        <x:v>0</x:v>
      </x:c>
      <x:c r="L409" s="40"/>
      <x:c r="M409" s="40"/>
      <x:c r="N409" s="37" t="str"/>
    </x:row>
    <x:row r="410" ht="44" customHeight="1">
      <x:c r="A410" s="18" t="str">
        <x:v>P12-11</x:v>
      </x:c>
      <x:c r="B410" s="18" t="str">
        <x:v>Phase 12 - Hardening</x:v>
      </x:c>
      <x:c r="C410" s="18" t="str">
        <x:v>Rerun</x:v>
      </x:c>
      <x:c r="D410" s="37" t="str">
        <x:v>Rerun ingestion 1 station</x:v>
      </x:c>
      <x:c r="E410" s="38" t="str">
        <x:v>A</x:v>
      </x:c>
      <x:c r="F410" s="38" t="str">
        <x:v>B</x:v>
      </x:c>
      <x:c r="G410" s="37" t="str">
        <x:v>P12-07</x:v>
      </x:c>
      <x:c r="H410" s="37" t="str">
        <x:v>Không tạo raw/data sai ngoài version policy</x:v>
      </x:c>
      <x:c r="I410" s="38" t="str">
        <x:v>P0</x:v>
      </x:c>
      <x:c r="J410" s="38" t="str">
        <x:v>TODO</x:v>
      </x:c>
      <x:c r="K410" s="39" t="n">
        <x:f>IF(J410="DONE",1,IF(J410="REVIEW",0.8,IF(J410="DOING",0.5,0)))</x:f>
        <x:v>0</x:v>
      </x:c>
      <x:c r="L410" s="40"/>
      <x:c r="M410" s="40"/>
      <x:c r="N410" s="37" t="str"/>
    </x:row>
    <x:row r="411" ht="44" customHeight="1">
      <x:c r="A411" s="18" t="str">
        <x:v>P12-12</x:v>
      </x:c>
      <x:c r="B411" s="18" t="str">
        <x:v>Phase 12 - Hardening</x:v>
      </x:c>
      <x:c r="C411" s="18" t="str">
        <x:v>Rerun</x:v>
      </x:c>
      <x:c r="D411" s="37" t="str">
        <x:v>Rerun processing và staging load</x:v>
      </x:c>
      <x:c r="E411" s="38" t="str">
        <x:v>A</x:v>
      </x:c>
      <x:c r="F411" s="38" t="str">
        <x:v>B</x:v>
      </x:c>
      <x:c r="G411" s="37" t="str">
        <x:v>P12-11</x:v>
      </x:c>
      <x:c r="H411" s="37" t="str">
        <x:v>Không tăng duplicate; output reproducible</x:v>
      </x:c>
      <x:c r="I411" s="38" t="str">
        <x:v>P0</x:v>
      </x:c>
      <x:c r="J411" s="38" t="str">
        <x:v>TODO</x:v>
      </x:c>
      <x:c r="K411" s="39" t="n">
        <x:f>IF(J411="DONE",1,IF(J411="REVIEW",0.8,IF(J411="DOING",0.5,0)))</x:f>
        <x:v>0</x:v>
      </x:c>
      <x:c r="L411" s="40"/>
      <x:c r="M411" s="40"/>
      <x:c r="N411" s="37" t="str"/>
    </x:row>
    <x:row r="412" ht="44" customHeight="1">
      <x:c r="A412" s="18" t="str">
        <x:v>P12-13</x:v>
      </x:c>
      <x:c r="B412" s="18" t="str">
        <x:v>Phase 12 - Hardening</x:v>
      </x:c>
      <x:c r="C412" s="18" t="str">
        <x:v>Rerun</x:v>
      </x:c>
      <x:c r="D412" s="37" t="str">
        <x:v>Rerun dbt build và analytical queries</x:v>
      </x:c>
      <x:c r="E412" s="38" t="str">
        <x:v>B</x:v>
      </x:c>
      <x:c r="F412" s="38" t="str">
        <x:v>A</x:v>
      </x:c>
      <x:c r="G412" s="37" t="str">
        <x:v>P12-12</x:v>
      </x:c>
      <x:c r="H412" s="37" t="str">
        <x:v>Models/tests pass và totals ổn định</x:v>
      </x:c>
      <x:c r="I412" s="38" t="str">
        <x:v>P0</x:v>
      </x:c>
      <x:c r="J412" s="38" t="str">
        <x:v>TODO</x:v>
      </x:c>
      <x:c r="K412" s="39" t="n">
        <x:f>IF(J412="DONE",1,IF(J412="REVIEW",0.8,IF(J412="DOING",0.5,0)))</x:f>
        <x:v>0</x:v>
      </x:c>
      <x:c r="L412" s="40"/>
      <x:c r="M412" s="40"/>
      <x:c r="N412" s="37" t="str"/>
    </x:row>
    <x:row r="413" ht="44" customHeight="1">
      <x:c r="A413" s="18" t="str">
        <x:v>P12-14</x:v>
      </x:c>
      <x:c r="B413" s="18" t="str">
        <x:v>Phase 12 - Hardening</x:v>
      </x:c>
      <x:c r="C413" s="18" t="str">
        <x:v>Failure test</x:v>
      </x:c>
      <x:c r="D413" s="37" t="str">
        <x:v>Test source file missing</x:v>
      </x:c>
      <x:c r="E413" s="38" t="str">
        <x:v>B</x:v>
      </x:c>
      <x:c r="F413" s="38" t="str">
        <x:v>A</x:v>
      </x:c>
      <x:c r="G413" s="37" t="str">
        <x:v>P12-02</x:v>
      </x:c>
      <x:c r="H413" s="37" t="str">
        <x:v>Task fail đúng chỗ và log nêu file thiếu</x:v>
      </x:c>
      <x:c r="I413" s="38" t="str">
        <x:v>P1</x:v>
      </x:c>
      <x:c r="J413" s="38" t="str">
        <x:v>TODO</x:v>
      </x:c>
      <x:c r="K413" s="39" t="n">
        <x:f>IF(J413="DONE",1,IF(J413="REVIEW",0.8,IF(J413="DOING",0.5,0)))</x:f>
        <x:v>0</x:v>
      </x:c>
      <x:c r="L413" s="40"/>
      <x:c r="M413" s="40"/>
      <x:c r="N413" s="37" t="str"/>
    </x:row>
    <x:row r="414" ht="44" customHeight="1">
      <x:c r="A414" s="18" t="str">
        <x:v>P12-15</x:v>
      </x:c>
      <x:c r="B414" s="18" t="str">
        <x:v>Phase 12 - Hardening</x:v>
      </x:c>
      <x:c r="C414" s="18" t="str">
        <x:v>Failure test</x:v>
      </x:c>
      <x:c r="D414" s="37" t="str">
        <x:v>Test source schema thiếu cột</x:v>
      </x:c>
      <x:c r="E414" s="38" t="str">
        <x:v>B</x:v>
      </x:c>
      <x:c r="F414" s="38" t="str">
        <x:v>A</x:v>
      </x:c>
      <x:c r="G414" s="37" t="str">
        <x:v>P12-02</x:v>
      </x:c>
      <x:c r="H414" s="37" t="str">
        <x:v>Validation chặn trước khi raw/processed sai lan xuống</x:v>
      </x:c>
      <x:c r="I414" s="38" t="str">
        <x:v>P1</x:v>
      </x:c>
      <x:c r="J414" s="38" t="str">
        <x:v>TODO</x:v>
      </x:c>
      <x:c r="K414" s="39" t="n">
        <x:f>IF(J414="DONE",1,IF(J414="REVIEW",0.8,IF(J414="DOING",0.5,0)))</x:f>
        <x:v>0</x:v>
      </x:c>
      <x:c r="L414" s="40"/>
      <x:c r="M414" s="40"/>
      <x:c r="N414" s="37" t="str"/>
    </x:row>
    <x:row r="415" ht="44" customHeight="1">
      <x:c r="A415" s="18" t="str">
        <x:v>P12-16</x:v>
      </x:c>
      <x:c r="B415" s="18" t="str">
        <x:v>Phase 12 - Hardening</x:v>
      </x:c>
      <x:c r="C415" s="18" t="str">
        <x:v>Failure test</x:v>
      </x:c>
      <x:c r="D415" s="37" t="str">
        <x:v>Test MinIO tạm thời không kết nối</x:v>
      </x:c>
      <x:c r="E415" s="38" t="str">
        <x:v>A</x:v>
      </x:c>
      <x:c r="F415" s="38" t="str">
        <x:v>B</x:v>
      </x:c>
      <x:c r="G415" s="37" t="str">
        <x:v>P12-02</x:v>
      </x:c>
      <x:c r="H415" s="37" t="str">
        <x:v>Retry/failure rõ; recovery không tạo object sai</x:v>
      </x:c>
      <x:c r="I415" s="38" t="str">
        <x:v>P1</x:v>
      </x:c>
      <x:c r="J415" s="38" t="str">
        <x:v>TODO</x:v>
      </x:c>
      <x:c r="K415" s="39" t="n">
        <x:f>IF(J415="DONE",1,IF(J415="REVIEW",0.8,IF(J415="DOING",0.5,0)))</x:f>
        <x:v>0</x:v>
      </x:c>
      <x:c r="L415" s="40"/>
      <x:c r="M415" s="40"/>
      <x:c r="N415" s="37" t="str"/>
    </x:row>
    <x:row r="416" ht="44" customHeight="1">
      <x:c r="A416" s="18" t="str">
        <x:v>P12-17</x:v>
      </x:c>
      <x:c r="B416" s="18" t="str">
        <x:v>Phase 12 - Hardening</x:v>
      </x:c>
      <x:c r="C416" s="18" t="str">
        <x:v>Failure test</x:v>
      </x:c>
      <x:c r="D416" s="37" t="str">
        <x:v>Test PostgreSQL tạm thời không kết nối</x:v>
      </x:c>
      <x:c r="E416" s="38" t="str">
        <x:v>A</x:v>
      </x:c>
      <x:c r="F416" s="38" t="str">
        <x:v>B</x:v>
      </x:c>
      <x:c r="G416" s="37" t="str">
        <x:v>P12-02</x:v>
      </x:c>
      <x:c r="H416" s="37" t="str">
        <x:v>Load không để batch nửa vời</x:v>
      </x:c>
      <x:c r="I416" s="38" t="str">
        <x:v>P1</x:v>
      </x:c>
      <x:c r="J416" s="38" t="str">
        <x:v>TODO</x:v>
      </x:c>
      <x:c r="K416" s="39" t="n">
        <x:f>IF(J416="DONE",1,IF(J416="REVIEW",0.8,IF(J416="DOING",0.5,0)))</x:f>
        <x:v>0</x:v>
      </x:c>
      <x:c r="L416" s="40"/>
      <x:c r="M416" s="40"/>
      <x:c r="N416" s="37" t="str"/>
    </x:row>
    <x:row r="417" ht="44" customHeight="1">
      <x:c r="A417" s="18" t="str">
        <x:v>P12-18</x:v>
      </x:c>
      <x:c r="B417" s="18" t="str">
        <x:v>Phase 12 - Hardening</x:v>
      </x:c>
      <x:c r="C417" s="18" t="str">
        <x:v>Failure test</x:v>
      </x:c>
      <x:c r="D417" s="37" t="str">
        <x:v>Test broken Airflow dependency</x:v>
      </x:c>
      <x:c r="E417" s="38" t="str">
        <x:v>A</x:v>
      </x:c>
      <x:c r="F417" s="38" t="str">
        <x:v>B</x:v>
      </x:c>
      <x:c r="G417" s="37" t="str">
        <x:v>P12-02</x:v>
      </x:c>
      <x:c r="H417" s="37" t="str">
        <x:v>Downstream không chạy khi upstream fail</x:v>
      </x:c>
      <x:c r="I417" s="38" t="str">
        <x:v>P1</x:v>
      </x:c>
      <x:c r="J417" s="38" t="str">
        <x:v>TODO</x:v>
      </x:c>
      <x:c r="K417" s="39" t="n">
        <x:f>IF(J417="DONE",1,IF(J417="REVIEW",0.8,IF(J417="DOING",0.5,0)))</x:f>
        <x:v>0</x:v>
      </x:c>
      <x:c r="L417" s="40"/>
      <x:c r="M417" s="40"/>
      <x:c r="N417" s="37" t="str"/>
    </x:row>
    <x:row r="418" ht="44" customHeight="1">
      <x:c r="A418" s="18" t="str">
        <x:v>P12-19</x:v>
      </x:c>
      <x:c r="B418" s="18" t="str">
        <x:v>Phase 12 - Hardening</x:v>
      </x:c>
      <x:c r="C418" s="18" t="str">
        <x:v>Data quality</x:v>
      </x:c>
      <x:c r="D418" s="37" t="str">
        <x:v>Chạy full profiling/reconciliation checks lần cuối</x:v>
      </x:c>
      <x:c r="E418" s="38" t="str">
        <x:v>A+B</x:v>
      </x:c>
      <x:c r="F418" s="38" t="str">
        <x:v>A+B</x:v>
      </x:c>
      <x:c r="G418" s="37" t="str">
        <x:v>P12-08</x:v>
      </x:c>
      <x:c r="H418" s="37" t="str">
        <x:v>Counts, duplicates, gaps và invalid values được tổng hợp</x:v>
      </x:c>
      <x:c r="I418" s="38" t="str">
        <x:v>P0</x:v>
      </x:c>
      <x:c r="J418" s="38" t="str">
        <x:v>TODO</x:v>
      </x:c>
      <x:c r="K418" s="39" t="n">
        <x:f>IF(J418="DONE",1,IF(J418="REVIEW",0.8,IF(J418="DOING",0.5,0)))</x:f>
        <x:v>0</x:v>
      </x:c>
      <x:c r="L418" s="40"/>
      <x:c r="M418" s="40"/>
      <x:c r="N418" s="37" t="str"/>
    </x:row>
    <x:row r="419" ht="44" customHeight="1">
      <x:c r="A419" s="18" t="str">
        <x:v>P12-20</x:v>
      </x:c>
      <x:c r="B419" s="18" t="str">
        <x:v>Phase 12 - Hardening</x:v>
      </x:c>
      <x:c r="C419" s="18" t="str">
        <x:v>dbt quality</x:v>
      </x:c>
      <x:c r="D419" s="37" t="str">
        <x:v>Chạy full dbt tests lần cuối</x:v>
      </x:c>
      <x:c r="E419" s="38" t="str">
        <x:v>B</x:v>
      </x:c>
      <x:c r="F419" s="38" t="str">
        <x:v>A</x:v>
      </x:c>
      <x:c r="G419" s="37" t="str">
        <x:v>P12-08</x:v>
      </x:c>
      <x:c r="H419" s="37" t="str">
        <x:v>Không có test fail chưa giải thích</x:v>
      </x:c>
      <x:c r="I419" s="38" t="str">
        <x:v>P0</x:v>
      </x:c>
      <x:c r="J419" s="38" t="str">
        <x:v>TODO</x:v>
      </x:c>
      <x:c r="K419" s="39" t="n">
        <x:f>IF(J419="DONE",1,IF(J419="REVIEW",0.8,IF(J419="DOING",0.5,0)))</x:f>
        <x:v>0</x:v>
      </x:c>
      <x:c r="L419" s="40"/>
      <x:c r="M419" s="40"/>
      <x:c r="N419" s="37" t="str"/>
    </x:row>
    <x:row r="420" ht="44" customHeight="1">
      <x:c r="A420" s="18" t="str">
        <x:v>P12-21</x:v>
      </x:c>
      <x:c r="B420" s="18" t="str">
        <x:v>Phase 12 - Hardening</x:v>
      </x:c>
      <x:c r="C420" s="18" t="str">
        <x:v>ML quality</x:v>
      </x:c>
      <x:c r="D420" s="37" t="str">
        <x:v>Chạy baseline/leakage checklist và test metrics lần cuối</x:v>
      </x:c>
      <x:c r="E420" s="38" t="str">
        <x:v>A+B</x:v>
      </x:c>
      <x:c r="F420" s="38" t="str">
        <x:v>A+B</x:v>
      </x:c>
      <x:c r="G420" s="37" t="str">
        <x:v>P12-09</x:v>
      </x:c>
      <x:c r="H420" s="37" t="str">
        <x:v>Không thay đổi split/test sau model selection</x:v>
      </x:c>
      <x:c r="I420" s="38" t="str">
        <x:v>P0</x:v>
      </x:c>
      <x:c r="J420" s="38" t="str">
        <x:v>TODO</x:v>
      </x:c>
      <x:c r="K420" s="39" t="n">
        <x:f>IF(J420="DONE",1,IF(J420="REVIEW",0.8,IF(J420="DOING",0.5,0)))</x:f>
        <x:v>0</x:v>
      </x:c>
      <x:c r="L420" s="40"/>
      <x:c r="M420" s="40"/>
      <x:c r="N420" s="37" t="str"/>
    </x:row>
    <x:row r="421" ht="44" customHeight="1">
      <x:c r="A421" s="18" t="str">
        <x:v>P12-22</x:v>
      </x:c>
      <x:c r="B421" s="18" t="str">
        <x:v>Phase 12 - Hardening</x:v>
      </x:c>
      <x:c r="C421" s="18" t="str">
        <x:v>Dashboard quality</x:v>
      </x:c>
      <x:c r="D421" s="37" t="str">
        <x:v>Spot-check dashboard values và empty/error states</x:v>
      </x:c>
      <x:c r="E421" s="38" t="str">
        <x:v>A+B</x:v>
      </x:c>
      <x:c r="F421" s="38" t="str">
        <x:v>A+B</x:v>
      </x:c>
      <x:c r="G421" s="37" t="str">
        <x:v>P12-10</x:v>
      </x:c>
      <x:c r="H421" s="37" t="str">
        <x:v>Output đúng và không crash trong kịch bản demo</x:v>
      </x:c>
      <x:c r="I421" s="38" t="str">
        <x:v>P0</x:v>
      </x:c>
      <x:c r="J421" s="38" t="str">
        <x:v>TODO</x:v>
      </x:c>
      <x:c r="K421" s="39" t="n">
        <x:f>IF(J421="DONE",1,IF(J421="REVIEW",0.8,IF(J421="DOING",0.5,0)))</x:f>
        <x:v>0</x:v>
      </x:c>
      <x:c r="L421" s="40"/>
      <x:c r="M421" s="40"/>
      <x:c r="N421" s="37" t="str"/>
    </x:row>
    <x:row r="422" ht="44" customHeight="1">
      <x:c r="A422" s="18" t="str">
        <x:v>P12-23</x:v>
      </x:c>
      <x:c r="B422" s="18" t="str">
        <x:v>Phase 12 - Hardening</x:v>
      </x:c>
      <x:c r="C422" s="18" t="str">
        <x:v>Config cleanup</x:v>
      </x:c>
      <x:c r="D422" s="37" t="str">
        <x:v>Tìm và xóa hard-coded local paths</x:v>
      </x:c>
      <x:c r="E422" s="38" t="str">
        <x:v>A</x:v>
      </x:c>
      <x:c r="F422" s="38" t="str">
        <x:v>B</x:v>
      </x:c>
      <x:c r="G422" s="37" t="str">
        <x:v>P12-10</x:v>
      </x:c>
      <x:c r="H422" s="37" t="str">
        <x:v>Repo chạy trên máy khác không sửa source code</x:v>
      </x:c>
      <x:c r="I422" s="38" t="str">
        <x:v>P0</x:v>
      </x:c>
      <x:c r="J422" s="38" t="str">
        <x:v>TODO</x:v>
      </x:c>
      <x:c r="K422" s="39" t="n">
        <x:f>IF(J422="DONE",1,IF(J422="REVIEW",0.8,IF(J422="DOING",0.5,0)))</x:f>
        <x:v>0</x:v>
      </x:c>
      <x:c r="L422" s="40"/>
      <x:c r="M422" s="40"/>
      <x:c r="N422" s="37" t="str"/>
    </x:row>
    <x:row r="423" ht="44" customHeight="1">
      <x:c r="A423" s="18" t="str">
        <x:v>P12-24</x:v>
      </x:c>
      <x:c r="B423" s="18" t="str">
        <x:v>Phase 12 - Hardening</x:v>
      </x:c>
      <x:c r="C423" s="18" t="str">
        <x:v>Security cleanup</x:v>
      </x:c>
      <x:c r="D423" s="37" t="str">
        <x:v>Quét và loại password/secret khỏi tracked files</x:v>
      </x:c>
      <x:c r="E423" s="38" t="str">
        <x:v>A</x:v>
      </x:c>
      <x:c r="F423" s="38" t="str">
        <x:v>B</x:v>
      </x:c>
      <x:c r="G423" s="37" t="str">
        <x:v>P12-10</x:v>
      </x:c>
      <x:c r="H423" s="37" t="str">
        <x:v>Không có credential thật trong Git history hiện hành</x:v>
      </x:c>
      <x:c r="I423" s="38" t="str">
        <x:v>P0</x:v>
      </x:c>
      <x:c r="J423" s="38" t="str">
        <x:v>TODO</x:v>
      </x:c>
      <x:c r="K423" s="39" t="n">
        <x:f>IF(J423="DONE",1,IF(J423="REVIEW",0.8,IF(J423="DOING",0.5,0)))</x:f>
        <x:v>0</x:v>
      </x:c>
      <x:c r="L423" s="40"/>
      <x:c r="M423" s="40"/>
      <x:c r="N423" s="37" t="str"/>
    </x:row>
    <x:row r="424" ht="44" customHeight="1">
      <x:c r="A424" s="18" t="str">
        <x:v>P12-25</x:v>
      </x:c>
      <x:c r="B424" s="18" t="str">
        <x:v>Phase 12 - Hardening</x:v>
      </x:c>
      <x:c r="C424" s="18" t="str">
        <x:v>Code cleanup</x:v>
      </x:c>
      <x:c r="D424" s="37" t="str">
        <x:v>Gộp duplicated code và bỏ unused experiments</x:v>
      </x:c>
      <x:c r="E424" s="38" t="str">
        <x:v>A+B</x:v>
      </x:c>
      <x:c r="F424" s="38" t="str">
        <x:v>A+B</x:v>
      </x:c>
      <x:c r="G424" s="37" t="str">
        <x:v>P12-10</x:v>
      </x:c>
      <x:c r="H424" s="37" t="str">
        <x:v>Không xóa artifact/evidence cần cho báo cáo</x:v>
      </x:c>
      <x:c r="I424" s="38" t="str">
        <x:v>P1</x:v>
      </x:c>
      <x:c r="J424" s="38" t="str">
        <x:v>TODO</x:v>
      </x:c>
      <x:c r="K424" s="39" t="n">
        <x:f>IF(J424="DONE",1,IF(J424="REVIEW",0.8,IF(J424="DOING",0.5,0)))</x:f>
        <x:v>0</x:v>
      </x:c>
      <x:c r="L424" s="40"/>
      <x:c r="M424" s="40"/>
      <x:c r="N424" s="37" t="str"/>
    </x:row>
    <x:row r="425" ht="44" customHeight="1">
      <x:c r="A425" s="18" t="str">
        <x:v>P12-26</x:v>
      </x:c>
      <x:c r="B425" s="18" t="str">
        <x:v>Phase 12 - Hardening</x:v>
      </x:c>
      <x:c r="C425" s="18" t="str">
        <x:v>Productionize</x:v>
      </x:c>
      <x:c r="D425" s="37" t="str">
        <x:v>Chuyển notebook-only logic cần thiết thành module tái sử dụng</x:v>
      </x:c>
      <x:c r="E425" s="38" t="str">
        <x:v>B</x:v>
      </x:c>
      <x:c r="F425" s="38" t="str">
        <x:v>A</x:v>
      </x:c>
      <x:c r="G425" s="37" t="str">
        <x:v>P12-09</x:v>
      </x:c>
      <x:c r="H425" s="37" t="str">
        <x:v>Pipeline chính không phụ thuộc chạy cell thủ công</x:v>
      </x:c>
      <x:c r="I425" s="38" t="str">
        <x:v>P0</x:v>
      </x:c>
      <x:c r="J425" s="38" t="str">
        <x:v>TODO</x:v>
      </x:c>
      <x:c r="K425" s="39" t="n">
        <x:f>IF(J425="DONE",1,IF(J425="REVIEW",0.8,IF(J425="DOING",0.5,0)))</x:f>
        <x:v>0</x:v>
      </x:c>
      <x:c r="L425" s="40"/>
      <x:c r="M425" s="40"/>
      <x:c r="N425" s="37" t="str"/>
    </x:row>
    <x:row r="426" ht="44" customHeight="1">
      <x:c r="A426" s="18" t="str">
        <x:v>P12-27</x:v>
      </x:c>
      <x:c r="B426" s="18" t="str">
        <x:v>Phase 12 - Hardening</x:v>
      </x:c>
      <x:c r="C426" s="18" t="str">
        <x:v>Logging</x:v>
      </x:c>
      <x:c r="D426" s="37" t="str">
        <x:v>Chuẩn hóa log theo task, station, batch và object/table</x:v>
      </x:c>
      <x:c r="E426" s="38" t="str">
        <x:v>A</x:v>
      </x:c>
      <x:c r="F426" s="38" t="str">
        <x:v>B</x:v>
      </x:c>
      <x:c r="G426" s="37" t="str">
        <x:v>P12-07 đến P12-18</x:v>
      </x:c>
      <x:c r="H426" s="37" t="str">
        <x:v>Có đủ context để debug mà không lộ secret</x:v>
      </x:c>
      <x:c r="I426" s="38" t="str">
        <x:v>P1</x:v>
      </x:c>
      <x:c r="J426" s="38" t="str">
        <x:v>TODO</x:v>
      </x:c>
      <x:c r="K426" s="39" t="n">
        <x:f>IF(J426="DONE",1,IF(J426="REVIEW",0.8,IF(J426="DOING",0.5,0)))</x:f>
        <x:v>0</x:v>
      </x:c>
      <x:c r="L426" s="40"/>
      <x:c r="M426" s="40"/>
      <x:c r="N426" s="37" t="str"/>
    </x:row>
    <x:row r="427" ht="44" customHeight="1">
      <x:c r="A427" s="18" t="str">
        <x:v>P12-28</x:v>
      </x:c>
      <x:c r="B427" s="18" t="str">
        <x:v>Phase 12 - Hardening</x:v>
      </x:c>
      <x:c r="C427" s="18" t="str">
        <x:v>Dependencies</x:v>
      </x:c>
      <x:c r="D427" s="37" t="str">
        <x:v>Chốt requirements/package versions</x:v>
      </x:c>
      <x:c r="E427" s="38" t="str">
        <x:v>A</x:v>
      </x:c>
      <x:c r="F427" s="38" t="str">
        <x:v>B</x:v>
      </x:c>
      <x:c r="G427" s="37" t="str">
        <x:v>P12-05, P12-09, P12-10</x:v>
      </x:c>
      <x:c r="H427" s="37" t="str">
        <x:v>Môi trường cài lại dùng version reproducible</x:v>
      </x:c>
      <x:c r="I427" s="38" t="str">
        <x:v>P0</x:v>
      </x:c>
      <x:c r="J427" s="38" t="str">
        <x:v>TODO</x:v>
      </x:c>
      <x:c r="K427" s="39" t="n">
        <x:f>IF(J427="DONE",1,IF(J427="REVIEW",0.8,IF(J427="DOING",0.5,0)))</x:f>
        <x:v>0</x:v>
      </x:c>
      <x:c r="L427" s="40"/>
      <x:c r="M427" s="40"/>
      <x:c r="N427" s="37" t="str"/>
    </x:row>
    <x:row r="428" ht="44" customHeight="1">
      <x:c r="A428" s="18" t="str">
        <x:v>P12-29</x:v>
      </x:c>
      <x:c r="B428" s="18" t="str">
        <x:v>Phase 12 - Hardening</x:v>
      </x:c>
      <x:c r="C428" s="18" t="str">
        <x:v>Resource check</x:v>
      </x:c>
      <x:c r="D428" s="37" t="str">
        <x:v>Đo disk/RAM/runtime cho full run</x:v>
      </x:c>
      <x:c r="E428" s="38" t="str">
        <x:v>A</x:v>
      </x:c>
      <x:c r="F428" s="38" t="str">
        <x:v>B</x:v>
      </x:c>
      <x:c r="G428" s="37" t="str">
        <x:v>P12-08 đến P12-10</x:v>
      </x:c>
      <x:c r="H428" s="37" t="str">
        <x:v>Biết thời gian demo và dung lượng cần thiết</x:v>
      </x:c>
      <x:c r="I428" s="38" t="str">
        <x:v>P1</x:v>
      </x:c>
      <x:c r="J428" s="38" t="str">
        <x:v>TODO</x:v>
      </x:c>
      <x:c r="K428" s="39" t="n">
        <x:f>IF(J428="DONE",1,IF(J428="REVIEW",0.8,IF(J428="DOING",0.5,0)))</x:f>
        <x:v>0</x:v>
      </x:c>
      <x:c r="L428" s="40"/>
      <x:c r="M428" s="40"/>
      <x:c r="N428" s="37" t="str"/>
    </x:row>
    <x:row r="429" ht="44" customHeight="1">
      <x:c r="A429" s="18" t="str">
        <x:v>P12-30</x:v>
      </x:c>
      <x:c r="B429" s="18" t="str">
        <x:v>Phase 12 - Hardening</x:v>
      </x:c>
      <x:c r="C429" s="18" t="str">
        <x:v>Backup</x:v>
      </x:c>
      <x:c r="D429" s="37" t="str">
        <x:v>Tạo backup cần thiết cho DWH/model/evidence trước demo</x:v>
      </x:c>
      <x:c r="E429" s="38" t="str">
        <x:v>A</x:v>
      </x:c>
      <x:c r="F429" s="38" t="str">
        <x:v>B</x:v>
      </x:c>
      <x:c r="G429" s="37" t="str">
        <x:v>P12-19 đến P12-22</x:v>
      </x:c>
      <x:c r="H429" s="37" t="str">
        <x:v>Có bản phục hồi khi live pipeline gặp lỗi</x:v>
      </x:c>
      <x:c r="I429" s="38" t="str">
        <x:v>P0</x:v>
      </x:c>
      <x:c r="J429" s="38" t="str">
        <x:v>TODO</x:v>
      </x:c>
      <x:c r="K429" s="39" t="n">
        <x:f>IF(J429="DONE",1,IF(J429="REVIEW",0.8,IF(J429="DOING",0.5,0)))</x:f>
        <x:v>0</x:v>
      </x:c>
      <x:c r="L429" s="40"/>
      <x:c r="M429" s="40"/>
      <x:c r="N429" s="37" t="str"/>
    </x:row>
    <x:row r="430" ht="44" customHeight="1">
      <x:c r="A430" s="18" t="str">
        <x:v>P12-31</x:v>
      </x:c>
      <x:c r="B430" s="18" t="str">
        <x:v>Phase 12 - Hardening</x:v>
      </x:c>
      <x:c r="C430" s="18" t="str">
        <x:v>Documentation</x:v>
      </x:c>
      <x:c r="D430" s="37" t="str">
        <x:v>Hoàn thiện README setup và runbook</x:v>
      </x:c>
      <x:c r="E430" s="38" t="str">
        <x:v>B</x:v>
      </x:c>
      <x:c r="F430" s="38" t="str">
        <x:v>A</x:v>
      </x:c>
      <x:c r="G430" s="37" t="str">
        <x:v>P12-23 đến P12-30</x:v>
      </x:c>
      <x:c r="H430" s="37" t="str">
        <x:v>Người mới chạy được theo đúng thứ tự</x:v>
      </x:c>
      <x:c r="I430" s="38" t="str">
        <x:v>P0</x:v>
      </x:c>
      <x:c r="J430" s="38" t="str">
        <x:v>TODO</x:v>
      </x:c>
      <x:c r="K430" s="39" t="n">
        <x:f>IF(J430="DONE",1,IF(J430="REVIEW",0.8,IF(J430="DOING",0.5,0)))</x:f>
        <x:v>0</x:v>
      </x:c>
      <x:c r="L430" s="40"/>
      <x:c r="M430" s="40"/>
      <x:c r="N430" s="37" t="str"/>
    </x:row>
    <x:row r="431" ht="44" customHeight="1">
      <x:c r="A431" s="18" t="str">
        <x:v>P12-32</x:v>
      </x:c>
      <x:c r="B431" s="18" t="str">
        <x:v>Phase 12 - Hardening</x:v>
      </x:c>
      <x:c r="C431" s="18" t="str">
        <x:v>Cross-review</x:v>
      </x:c>
      <x:c r="D431" s="37" t="str">
        <x:v>A giải thích và chạy thử ML/dashboard path</x:v>
      </x:c>
      <x:c r="E431" s="38" t="str">
        <x:v>A</x:v>
      </x:c>
      <x:c r="F431" s="38" t="str">
        <x:v>B</x:v>
      </x:c>
      <x:c r="G431" s="37" t="str">
        <x:v>P12-21, P12-22</x:v>
      </x:c>
      <x:c r="H431" s="37" t="str">
        <x:v>Không phụ thuộc B khi demo phần analytics</x:v>
      </x:c>
      <x:c r="I431" s="38" t="str">
        <x:v>P1</x:v>
      </x:c>
      <x:c r="J431" s="38" t="str">
        <x:v>TODO</x:v>
      </x:c>
      <x:c r="K431" s="39" t="n">
        <x:f>IF(J431="DONE",1,IF(J431="REVIEW",0.8,IF(J431="DOING",0.5,0)))</x:f>
        <x:v>0</x:v>
      </x:c>
      <x:c r="L431" s="40"/>
      <x:c r="M431" s="40"/>
      <x:c r="N431" s="37" t="str"/>
    </x:row>
    <x:row r="432" ht="44" customHeight="1">
      <x:c r="A432" s="18" t="str">
        <x:v>P12-33</x:v>
      </x:c>
      <x:c r="B432" s="18" t="str">
        <x:v>Phase 12 - Hardening</x:v>
      </x:c>
      <x:c r="C432" s="18" t="str">
        <x:v>Cross-review</x:v>
      </x:c>
      <x:c r="D432" s="37" t="str">
        <x:v>B giải thích và chạy thử ingestion/DWH path</x:v>
      </x:c>
      <x:c r="E432" s="38" t="str">
        <x:v>B</x:v>
      </x:c>
      <x:c r="F432" s="38" t="str">
        <x:v>A</x:v>
      </x:c>
      <x:c r="G432" s="37" t="str">
        <x:v>P12-19, P12-20</x:v>
      </x:c>
      <x:c r="H432" s="37" t="str">
        <x:v>Không phụ thuộc A khi demo pipeline</x:v>
      </x:c>
      <x:c r="I432" s="38" t="str">
        <x:v>P1</x:v>
      </x:c>
      <x:c r="J432" s="38" t="str">
        <x:v>TODO</x:v>
      </x:c>
      <x:c r="K432" s="39" t="n">
        <x:f>IF(J432="DONE",1,IF(J432="REVIEW",0.8,IF(J432="DOING",0.5,0)))</x:f>
        <x:v>0</x:v>
      </x:c>
      <x:c r="L432" s="40"/>
      <x:c r="M432" s="40"/>
      <x:c r="N432" s="37" t="str"/>
    </x:row>
    <x:row r="433" ht="44" customHeight="1">
      <x:c r="A433" s="18" t="str">
        <x:v>P12-34</x:v>
      </x:c>
      <x:c r="B433" s="18" t="str">
        <x:v>Phase 12 - Hardening</x:v>
      </x:c>
      <x:c r="C433" s="18" t="str">
        <x:v>Final Gate</x:v>
      </x:c>
      <x:c r="D433" s="37" t="str">
        <x:v>Đối chiếu toàn bộ tiêu chí hoàn thành project</x:v>
      </x:c>
      <x:c r="E433" s="38" t="str">
        <x:v>A+B</x:v>
      </x:c>
      <x:c r="F433" s="38" t="str">
        <x:v>A+B</x:v>
      </x:c>
      <x:c r="G433" s="37" t="str">
        <x:v>P12-31 đến P12-33</x:v>
      </x:c>
      <x:c r="H433" s="37" t="str">
        <x:v>Tất cả P0 DONE hoặc có quyết định scope rõ</x:v>
      </x:c>
      <x:c r="I433" s="38" t="str">
        <x:v>P0</x:v>
      </x:c>
      <x:c r="J433" s="38" t="str">
        <x:v>TODO</x:v>
      </x:c>
      <x:c r="K433" s="39" t="n">
        <x:f>IF(J433="DONE",1,IF(J433="REVIEW",0.8,IF(J433="DOING",0.5,0)))</x:f>
        <x:v>0</x:v>
      </x:c>
      <x:c r="L433" s="40"/>
      <x:c r="M433" s="40"/>
      <x:c r="N433" s="37" t="str"/>
    </x:row>
    <x:row r="434" ht="44" customHeight="1">
      <x:c r="A434" s="18" t="str">
        <x:v>P12-35</x:v>
      </x:c>
      <x:c r="B434" s="18" t="str">
        <x:v>Phase 12 - Hardening</x:v>
      </x:c>
      <x:c r="C434" s="18" t="str">
        <x:v>Checkpoint</x:v>
      </x:c>
      <x:c r="D434" s="37" t="str">
        <x:v>Tag/commit bản stable trước báo cáo và demo</x:v>
      </x:c>
      <x:c r="E434" s="38" t="str">
        <x:v>A+B</x:v>
      </x:c>
      <x:c r="F434" s="38" t="str">
        <x:v>A+B</x:v>
      </x:c>
      <x:c r="G434" s="37" t="str">
        <x:v>P12-34</x:v>
      </x:c>
      <x:c r="H434" s="37" t="str">
        <x:v>Có commit/tag chạy được và không chứa secret</x:v>
      </x:c>
      <x:c r="I434" s="38" t="str">
        <x:v>P0</x:v>
      </x:c>
      <x:c r="J434" s="38" t="str">
        <x:v>TODO</x:v>
      </x:c>
      <x:c r="K434" s="39" t="n">
        <x:f>IF(J434="DONE",1,IF(J434="REVIEW",0.8,IF(J434="DOING",0.5,0)))</x:f>
        <x:v>0</x:v>
      </x:c>
      <x:c r="L434" s="40"/>
      <x:c r="M434" s="40"/>
      <x:c r="N434" s="37" t="str"/>
    </x:row>
    <x:row r="435" ht="44" customHeight="1">
      <x:c r="A435" s="18" t="str">
        <x:v>P12-36</x:v>
      </x:c>
      <x:c r="B435" s="18" t="str">
        <x:v>Phase 12 - Hardening</x:v>
      </x:c>
      <x:c r="C435" s="18" t="str">
        <x:v>Checkpoint</x:v>
      </x:c>
      <x:c r="D435" s="37" t="str">
        <x:v>Cập nhật PROGRESS.md Phase 12 và danh sách known limitations</x:v>
      </x:c>
      <x:c r="E435" s="38" t="str">
        <x:v>A+B</x:v>
      </x:c>
      <x:c r="F435" s="38" t="str">
        <x:v>A+B</x:v>
      </x:c>
      <x:c r="G435" s="37" t="str">
        <x:v>P12-35</x:v>
      </x:c>
      <x:c r="H435" s="37" t="str">
        <x:v>Hệ thống stable; limitation không bị che giấu</x:v>
      </x:c>
      <x:c r="I435" s="38" t="str">
        <x:v>P0</x:v>
      </x:c>
      <x:c r="J435" s="38" t="str">
        <x:v>TODO</x:v>
      </x:c>
      <x:c r="K435" s="39" t="n">
        <x:f>IF(J435="DONE",1,IF(J435="REVIEW",0.8,IF(J435="DOING",0.5,0)))</x:f>
        <x:v>0</x:v>
      </x:c>
      <x:c r="L435" s="40"/>
      <x:c r="M435" s="40"/>
      <x:c r="N435" s="37" t="str"/>
    </x:row>
    <x:row r="436" ht="44" customHeight="1">
      <x:c r="A436" s="18" t="str">
        <x:v>P13-01</x:v>
      </x:c>
      <x:c r="B436" s="18" t="str">
        <x:v>Phase 13 - Report &amp; Demo</x:v>
      </x:c>
      <x:c r="C436" s="18" t="str">
        <x:v>Điều kiện đầu vào</x:v>
      </x:c>
      <x:c r="D436" s="37" t="str">
        <x:v>Xác nhận stable version và evidence thật đã sẵn sàng</x:v>
      </x:c>
      <x:c r="E436" s="38" t="str">
        <x:v>A+B</x:v>
      </x:c>
      <x:c r="F436" s="38" t="str">
        <x:v>A+B</x:v>
      </x:c>
      <x:c r="G436" s="37" t="str">
        <x:v>P12-36</x:v>
      </x:c>
      <x:c r="H436" s="37" t="str">
        <x:v>Báo cáo bám phiên bản hệ thống đã kiểm thử</x:v>
      </x:c>
      <x:c r="I436" s="38" t="str">
        <x:v>P0</x:v>
      </x:c>
      <x:c r="J436" s="38" t="str">
        <x:v>TODO</x:v>
      </x:c>
      <x:c r="K436" s="39" t="n">
        <x:f>IF(J436="DONE",1,IF(J436="REVIEW",0.8,IF(J436="DOING",0.5,0)))</x:f>
        <x:v>0</x:v>
      </x:c>
      <x:c r="L436" s="40"/>
      <x:c r="M436" s="40"/>
      <x:c r="N436" s="37" t="str"/>
    </x:row>
    <x:row r="437" ht="44" customHeight="1">
      <x:c r="A437" s="18" t="str">
        <x:v>P13-02</x:v>
      </x:c>
      <x:c r="B437" s="18" t="str">
        <x:v>Phase 13 - Report &amp; Demo</x:v>
      </x:c>
      <x:c r="C437" s="18" t="str">
        <x:v>Report outline</x:v>
      </x:c>
      <x:c r="D437" s="37" t="str">
        <x:v>Chốt mục lục báo cáo theo yêu cầu môn học</x:v>
      </x:c>
      <x:c r="E437" s="38" t="str">
        <x:v>A+B</x:v>
      </x:c>
      <x:c r="F437" s="38" t="str">
        <x:v>A+B</x:v>
      </x:c>
      <x:c r="G437" s="37" t="str">
        <x:v>P13-01</x:v>
      </x:c>
      <x:c r="H437" s="37" t="str">
        <x:v>Bao phủ kho dữ liệu và khai phá dữ liệu cân đối</x:v>
      </x:c>
      <x:c r="I437" s="38" t="str">
        <x:v>P0</x:v>
      </x:c>
      <x:c r="J437" s="38" t="str">
        <x:v>TODO</x:v>
      </x:c>
      <x:c r="K437" s="39" t="n">
        <x:f>IF(J437="DONE",1,IF(J437="REVIEW",0.8,IF(J437="DOING",0.5,0)))</x:f>
        <x:v>0</x:v>
      </x:c>
      <x:c r="L437" s="40"/>
      <x:c r="M437" s="40"/>
      <x:c r="N437" s="37" t="str"/>
    </x:row>
    <x:row r="438" ht="44" customHeight="1">
      <x:c r="A438" s="18" t="str">
        <x:v>P13-03</x:v>
      </x:c>
      <x:c r="B438" s="18" t="str">
        <x:v>Phase 13 - Report &amp; Demo</x:v>
      </x:c>
      <x:c r="C438" s="18" t="str">
        <x:v>Introduction</x:v>
      </x:c>
      <x:c r="D438" s="37" t="str">
        <x:v>Viết bối cảnh, vấn đề và mục tiêu project</x:v>
      </x:c>
      <x:c r="E438" s="38" t="str">
        <x:v>B</x:v>
      </x:c>
      <x:c r="F438" s="38" t="str">
        <x:v>A</x:v>
      </x:c>
      <x:c r="G438" s="37" t="str">
        <x:v>P13-02</x:v>
      </x:c>
      <x:c r="H438" s="37" t="str">
        <x:v>Problem statement và câu hỏi phân tích/dự báo rõ</x:v>
      </x:c>
      <x:c r="I438" s="38" t="str">
        <x:v>P0</x:v>
      </x:c>
      <x:c r="J438" s="38" t="str">
        <x:v>TODO</x:v>
      </x:c>
      <x:c r="K438" s="39" t="n">
        <x:f>IF(J438="DONE",1,IF(J438="REVIEW",0.8,IF(J438="DOING",0.5,0)))</x:f>
        <x:v>0</x:v>
      </x:c>
      <x:c r="L438" s="40"/>
      <x:c r="M438" s="40"/>
      <x:c r="N438" s="37" t="str"/>
    </x:row>
    <x:row r="439" ht="44" customHeight="1">
      <x:c r="A439" s="18" t="str">
        <x:v>P13-04</x:v>
      </x:c>
      <x:c r="B439" s="18" t="str">
        <x:v>Phase 13 - Report &amp; Demo</x:v>
      </x:c>
      <x:c r="C439" s="18" t="str">
        <x:v>Dataset</x:v>
      </x:c>
      <x:c r="D439" s="37" t="str">
        <x:v>Viết mô tả UCI dataset, grain, period và variables</x:v>
      </x:c>
      <x:c r="E439" s="38" t="str">
        <x:v>B</x:v>
      </x:c>
      <x:c r="F439" s="38" t="str">
        <x:v>A</x:v>
      </x:c>
      <x:c r="G439" s="37" t="str">
        <x:v>P1-48, P13-02</x:v>
      </x:c>
      <x:c r="H439" s="37" t="str">
        <x:v>Không gọi station là district khi chưa xác minh</x:v>
      </x:c>
      <x:c r="I439" s="38" t="str">
        <x:v>P0</x:v>
      </x:c>
      <x:c r="J439" s="38" t="str">
        <x:v>TODO</x:v>
      </x:c>
      <x:c r="K439" s="39" t="n">
        <x:f>IF(J439="DONE",1,IF(J439="REVIEW",0.8,IF(J439="DOING",0.5,0)))</x:f>
        <x:v>0</x:v>
      </x:c>
      <x:c r="L439" s="40"/>
      <x:c r="M439" s="40"/>
      <x:c r="N439" s="37" t="str"/>
    </x:row>
    <x:row r="440" ht="44" customHeight="1">
      <x:c r="A440" s="18" t="str">
        <x:v>P13-05</x:v>
      </x:c>
      <x:c r="B440" s="18" t="str">
        <x:v>Phase 13 - Report &amp; Demo</x:v>
      </x:c>
      <x:c r="C440" s="18" t="str">
        <x:v>Data quality</x:v>
      </x:c>
      <x:c r="D440" s="37" t="str">
        <x:v>Viết profiling, missing gaps, duplicate và extreme findings</x:v>
      </x:c>
      <x:c r="E440" s="38" t="str">
        <x:v>B</x:v>
      </x:c>
      <x:c r="F440" s="38" t="str">
        <x:v>A</x:v>
      </x:c>
      <x:c r="G440" s="37" t="str">
        <x:v>P8-29, P13-02</x:v>
      </x:c>
      <x:c r="H440" s="37" t="str">
        <x:v>Nêu rule có bằng chứng và raw không bị làm sạch tùy tiện</x:v>
      </x:c>
      <x:c r="I440" s="38" t="str">
        <x:v>P0</x:v>
      </x:c>
      <x:c r="J440" s="38" t="str">
        <x:v>TODO</x:v>
      </x:c>
      <x:c r="K440" s="39" t="n">
        <x:f>IF(J440="DONE",1,IF(J440="REVIEW",0.8,IF(J440="DOING",0.5,0)))</x:f>
        <x:v>0</x:v>
      </x:c>
      <x:c r="L440" s="40"/>
      <x:c r="M440" s="40"/>
      <x:c r="N440" s="37" t="str"/>
    </x:row>
    <x:row r="441" ht="44" customHeight="1">
      <x:c r="A441" s="18" t="str">
        <x:v>P13-06</x:v>
      </x:c>
      <x:c r="B441" s="18" t="str">
        <x:v>Phase 13 - Report &amp; Demo</x:v>
      </x:c>
      <x:c r="C441" s="18" t="str">
        <x:v>Architecture</x:v>
      </x:c>
      <x:c r="D441" s="37" t="str">
        <x:v>Viết kiến trúc end-to-end và vai trò từng công cụ</x:v>
      </x:c>
      <x:c r="E441" s="38" t="str">
        <x:v>A</x:v>
      </x:c>
      <x:c r="F441" s="38" t="str">
        <x:v>B</x:v>
      </x:c>
      <x:c r="G441" s="37" t="str">
        <x:v>P12-36, P13-02</x:v>
      </x:c>
      <x:c r="H441" s="37" t="str">
        <x:v>Giải thích Airflow, MinIO, staging, dbt và DWH</x:v>
      </x:c>
      <x:c r="I441" s="38" t="str">
        <x:v>P0</x:v>
      </x:c>
      <x:c r="J441" s="38" t="str">
        <x:v>TODO</x:v>
      </x:c>
      <x:c r="K441" s="39" t="n">
        <x:f>IF(J441="DONE",1,IF(J441="REVIEW",0.8,IF(J441="DOING",0.5,0)))</x:f>
        <x:v>0</x:v>
      </x:c>
      <x:c r="L441" s="40"/>
      <x:c r="M441" s="40"/>
      <x:c r="N441" s="37" t="str"/>
    </x:row>
    <x:row r="442" ht="44" customHeight="1">
      <x:c r="A442" s="18" t="str">
        <x:v>P13-07</x:v>
      </x:c>
      <x:c r="B442" s="18" t="str">
        <x:v>Phase 13 - Report &amp; Demo</x:v>
      </x:c>
      <x:c r="C442" s="18" t="str">
        <x:v>Pipeline</x:v>
      </x:c>
      <x:c r="D442" s="37" t="str">
        <x:v>Viết ingestion, processing và idempotency</x:v>
      </x:c>
      <x:c r="E442" s="38" t="str">
        <x:v>A</x:v>
      </x:c>
      <x:c r="F442" s="38" t="str">
        <x:v>B</x:v>
      </x:c>
      <x:c r="G442" s="37" t="str">
        <x:v>P12-36</x:v>
      </x:c>
      <x:c r="H442" s="37" t="str">
        <x:v>Flow source→raw→processed→staging có evidence</x:v>
      </x:c>
      <x:c r="I442" s="38" t="str">
        <x:v>P0</x:v>
      </x:c>
      <x:c r="J442" s="38" t="str">
        <x:v>TODO</x:v>
      </x:c>
      <x:c r="K442" s="39" t="n">
        <x:f>IF(J442="DONE",1,IF(J442="REVIEW",0.8,IF(J442="DOING",0.5,0)))</x:f>
        <x:v>0</x:v>
      </x:c>
      <x:c r="L442" s="40"/>
      <x:c r="M442" s="40"/>
      <x:c r="N442" s="37" t="str"/>
    </x:row>
    <x:row r="443" ht="44" customHeight="1">
      <x:c r="A443" s="18" t="str">
        <x:v>P13-08</x:v>
      </x:c>
      <x:c r="B443" s="18" t="str">
        <x:v>Phase 13 - Report &amp; Demo</x:v>
      </x:c>
      <x:c r="C443" s="18" t="str">
        <x:v>Open-Meteo</x:v>
      </x:c>
      <x:c r="D443" s="37" t="str">
        <x:v>Viết thử nghiệm và quyết định vai trò Open-Meteo</x:v>
      </x:c>
      <x:c r="E443" s="38" t="str">
        <x:v>B</x:v>
      </x:c>
      <x:c r="F443" s="38" t="str">
        <x:v>A</x:v>
      </x:c>
      <x:c r="G443" s="37" t="str">
        <x:v>P5-29</x:v>
      </x:c>
      <x:c r="H443" s="37" t="str">
        <x:v>Trình bày cả bằng chứng và scope cuối</x:v>
      </x:c>
      <x:c r="I443" s="38" t="str">
        <x:v>P1</x:v>
      </x:c>
      <x:c r="J443" s="38" t="str">
        <x:v>TODO</x:v>
      </x:c>
      <x:c r="K443" s="39" t="n">
        <x:f>IF(J443="DONE",1,IF(J443="REVIEW",0.8,IF(J443="DOING",0.5,0)))</x:f>
        <x:v>0</x:v>
      </x:c>
      <x:c r="L443" s="40"/>
      <x:c r="M443" s="40"/>
      <x:c r="N443" s="37" t="str"/>
    </x:row>
    <x:row r="444" ht="44" customHeight="1">
      <x:c r="A444" s="18" t="str">
        <x:v>P13-09</x:v>
      </x:c>
      <x:c r="B444" s="18" t="str">
        <x:v>Phase 13 - Report &amp; Demo</x:v>
      </x:c>
      <x:c r="C444" s="18" t="str">
        <x:v>DWH design</x:v>
      </x:c>
      <x:c r="D444" s="37" t="str">
        <x:v>Viết grain, dimensions, fact, marts và dbt tests</x:v>
      </x:c>
      <x:c r="E444" s="38" t="str">
        <x:v>B</x:v>
      </x:c>
      <x:c r="F444" s="38" t="str">
        <x:v>A</x:v>
      </x:c>
      <x:c r="G444" s="37" t="str">
        <x:v>P7-40</x:v>
      </x:c>
      <x:c r="H444" s="37" t="str">
        <x:v>Star schema và lineage được giải thích</x:v>
      </x:c>
      <x:c r="I444" s="38" t="str">
        <x:v>P0</x:v>
      </x:c>
      <x:c r="J444" s="38" t="str">
        <x:v>TODO</x:v>
      </x:c>
      <x:c r="K444" s="39" t="n">
        <x:f>IF(J444="DONE",1,IF(J444="REVIEW",0.8,IF(J444="DOING",0.5,0)))</x:f>
        <x:v>0</x:v>
      </x:c>
      <x:c r="L444" s="40"/>
      <x:c r="M444" s="40"/>
      <x:c r="N444" s="37" t="str"/>
    </x:row>
    <x:row r="445" ht="44" customHeight="1">
      <x:c r="A445" s="18" t="str">
        <x:v>P13-10</x:v>
      </x:c>
      <x:c r="B445" s="18" t="str">
        <x:v>Phase 13 - Report &amp; Demo</x:v>
      </x:c>
      <x:c r="C445" s="18" t="str">
        <x:v>EDA</x:v>
      </x:c>
      <x:c r="D445" s="37" t="str">
        <x:v>Viết phương pháp và insight chính từ EDA</x:v>
      </x:c>
      <x:c r="E445" s="38" t="str">
        <x:v>B</x:v>
      </x:c>
      <x:c r="F445" s="38" t="str">
        <x:v>A</x:v>
      </x:c>
      <x:c r="G445" s="37" t="str">
        <x:v>P8-30</x:v>
      </x:c>
      <x:c r="H445" s="37" t="str">
        <x:v>Mỗi insight có chart/query hỗ trợ</x:v>
      </x:c>
      <x:c r="I445" s="38" t="str">
        <x:v>P0</x:v>
      </x:c>
      <x:c r="J445" s="38" t="str">
        <x:v>TODO</x:v>
      </x:c>
      <x:c r="K445" s="39" t="n">
        <x:f>IF(J445="DONE",1,IF(J445="REVIEW",0.8,IF(J445="DOING",0.5,0)))</x:f>
        <x:v>0</x:v>
      </x:c>
      <x:c r="L445" s="40"/>
      <x:c r="M445" s="40"/>
      <x:c r="N445" s="37" t="str"/>
    </x:row>
    <x:row r="446" ht="44" customHeight="1">
      <x:c r="A446" s="18" t="str">
        <x:v>P13-11</x:v>
      </x:c>
      <x:c r="B446" s="18" t="str">
        <x:v>Phase 13 - Report &amp; Demo</x:v>
      </x:c>
      <x:c r="C446" s="18" t="str">
        <x:v>Clustering</x:v>
      </x:c>
      <x:c r="D446" s="37" t="str">
        <x:v>Viết feature, scaling, chọn k, kết quả và limitation</x:v>
      </x:c>
      <x:c r="E446" s="38" t="str">
        <x:v>B</x:v>
      </x:c>
      <x:c r="F446" s="38" t="str">
        <x:v>A</x:v>
      </x:c>
      <x:c r="G446" s="37" t="str">
        <x:v>P9-30</x:v>
      </x:c>
      <x:c r="H446" s="37" t="str">
        <x:v>Không phóng đại kết quả từ 12 station</x:v>
      </x:c>
      <x:c r="I446" s="38" t="str">
        <x:v>P0</x:v>
      </x:c>
      <x:c r="J446" s="38" t="str">
        <x:v>TODO</x:v>
      </x:c>
      <x:c r="K446" s="39" t="n">
        <x:f>IF(J446="DONE",1,IF(J446="REVIEW",0.8,IF(J446="DOING",0.5,0)))</x:f>
        <x:v>0</x:v>
      </x:c>
      <x:c r="L446" s="40"/>
      <x:c r="M446" s="40"/>
      <x:c r="N446" s="37" t="str"/>
    </x:row>
    <x:row r="447" ht="44" customHeight="1">
      <x:c r="A447" s="18" t="str">
        <x:v>P13-12</x:v>
      </x:c>
      <x:c r="B447" s="18" t="str">
        <x:v>Phase 13 - Report &amp; Demo</x:v>
      </x:c>
      <x:c r="C447" s="18" t="str">
        <x:v>Forecasting</x:v>
      </x:c>
      <x:c r="D447" s="37" t="str">
        <x:v>Viết target, features, chronological split và baseline</x:v>
      </x:c>
      <x:c r="E447" s="38" t="str">
        <x:v>B</x:v>
      </x:c>
      <x:c r="F447" s="38" t="str">
        <x:v>A</x:v>
      </x:c>
      <x:c r="G447" s="37" t="str">
        <x:v>P10-50</x:v>
      </x:c>
      <x:c r="H447" s="37" t="str">
        <x:v>No-leakage reasoning và persistence được nêu rõ</x:v>
      </x:c>
      <x:c r="I447" s="38" t="str">
        <x:v>P0</x:v>
      </x:c>
      <x:c r="J447" s="38" t="str">
        <x:v>TODO</x:v>
      </x:c>
      <x:c r="K447" s="39" t="n">
        <x:f>IF(J447="DONE",1,IF(J447="REVIEW",0.8,IF(J447="DOING",0.5,0)))</x:f>
        <x:v>0</x:v>
      </x:c>
      <x:c r="L447" s="40"/>
      <x:c r="M447" s="40"/>
      <x:c r="N447" s="37" t="str"/>
    </x:row>
    <x:row r="448" ht="44" customHeight="1">
      <x:c r="A448" s="18" t="str">
        <x:v>P13-13</x:v>
      </x:c>
      <x:c r="B448" s="18" t="str">
        <x:v>Phase 13 - Report &amp; Demo</x:v>
      </x:c>
      <x:c r="C448" s="18" t="str">
        <x:v>Forecasting</x:v>
      </x:c>
      <x:c r="D448" s="37" t="str">
        <x:v>Viết model comparison, test metrics và error analysis</x:v>
      </x:c>
      <x:c r="E448" s="38" t="str">
        <x:v>B</x:v>
      </x:c>
      <x:c r="F448" s="38" t="str">
        <x:v>A</x:v>
      </x:c>
      <x:c r="G448" s="37" t="str">
        <x:v>P10-50</x:v>
      </x:c>
      <x:c r="H448" s="37" t="str">
        <x:v>MAE chính; RMSE/R² phụ; cùng evaluation sample</x:v>
      </x:c>
      <x:c r="I448" s="38" t="str">
        <x:v>P0</x:v>
      </x:c>
      <x:c r="J448" s="38" t="str">
        <x:v>TODO</x:v>
      </x:c>
      <x:c r="K448" s="39" t="n">
        <x:f>IF(J448="DONE",1,IF(J448="REVIEW",0.8,IF(J448="DOING",0.5,0)))</x:f>
        <x:v>0</x:v>
      </x:c>
      <x:c r="L448" s="40"/>
      <x:c r="M448" s="40"/>
      <x:c r="N448" s="37" t="str"/>
    </x:row>
    <x:row r="449" ht="44" customHeight="1">
      <x:c r="A449" s="18" t="str">
        <x:v>P13-14</x:v>
      </x:c>
      <x:c r="B449" s="18" t="str">
        <x:v>Phase 13 - Report &amp; Demo</x:v>
      </x:c>
      <x:c r="C449" s="18" t="str">
        <x:v>Dashboard</x:v>
      </x:c>
      <x:c r="D449" s="37" t="str">
        <x:v>Viết chức năng, data source và vai trò dashboard</x:v>
      </x:c>
      <x:c r="E449" s="38" t="str">
        <x:v>A</x:v>
      </x:c>
      <x:c r="F449" s="38" t="str">
        <x:v>B</x:v>
      </x:c>
      <x:c r="G449" s="37" t="str">
        <x:v>P11-34</x:v>
      </x:c>
      <x:c r="H449" s="37" t="str">
        <x:v>Nêu dashboard đọc DWH/marts</x:v>
      </x:c>
      <x:c r="I449" s="38" t="str">
        <x:v>P1</x:v>
      </x:c>
      <x:c r="J449" s="38" t="str">
        <x:v>TODO</x:v>
      </x:c>
      <x:c r="K449" s="39" t="n">
        <x:f>IF(J449="DONE",1,IF(J449="REVIEW",0.8,IF(J449="DOING",0.5,0)))</x:f>
        <x:v>0</x:v>
      </x:c>
      <x:c r="L449" s="40"/>
      <x:c r="M449" s="40"/>
      <x:c r="N449" s="37" t="str"/>
    </x:row>
    <x:row r="450" ht="44" customHeight="1">
      <x:c r="A450" s="18" t="str">
        <x:v>P13-15</x:v>
      </x:c>
      <x:c r="B450" s="18" t="str">
        <x:v>Phase 13 - Report &amp; Demo</x:v>
      </x:c>
      <x:c r="C450" s="18" t="str">
        <x:v>Limitations</x:v>
      </x:c>
      <x:c r="D450" s="37" t="str">
        <x:v>Viết limitations và hướng phát triển thực tế</x:v>
      </x:c>
      <x:c r="E450" s="38" t="str">
        <x:v>A+B</x:v>
      </x:c>
      <x:c r="F450" s="38" t="str">
        <x:v>A+B</x:v>
      </x:c>
      <x:c r="G450" s="37" t="str">
        <x:v>P12-36</x:v>
      </x:c>
      <x:c r="H450" s="37" t="str">
        <x:v>Không tự thêm LSTM/Kafka như thể đã triển khai</x:v>
      </x:c>
      <x:c r="I450" s="38" t="str">
        <x:v>P0</x:v>
      </x:c>
      <x:c r="J450" s="38" t="str">
        <x:v>TODO</x:v>
      </x:c>
      <x:c r="K450" s="39" t="n">
        <x:f>IF(J450="DONE",1,IF(J450="REVIEW",0.8,IF(J450="DOING",0.5,0)))</x:f>
        <x:v>0</x:v>
      </x:c>
      <x:c r="L450" s="40"/>
      <x:c r="M450" s="40"/>
      <x:c r="N450" s="37" t="str"/>
    </x:row>
    <x:row r="451" ht="44" customHeight="1">
      <x:c r="A451" s="18" t="str">
        <x:v>P13-16</x:v>
      </x:c>
      <x:c r="B451" s="18" t="str">
        <x:v>Phase 13 - Report &amp; Demo</x:v>
      </x:c>
      <x:c r="C451" s="18" t="str">
        <x:v>Evidence</x:v>
      </x:c>
      <x:c r="D451" s="37" t="str">
        <x:v>Chụp architecture diagram từ bản chốt</x:v>
      </x:c>
      <x:c r="E451" s="38" t="str">
        <x:v>A</x:v>
      </x:c>
      <x:c r="F451" s="38" t="str">
        <x:v>B</x:v>
      </x:c>
      <x:c r="G451" s="37" t="str">
        <x:v>P13-06</x:v>
      </x:c>
      <x:c r="H451" s="37" t="str">
        <x:v>Ảnh rõ và khớp hệ thống thật</x:v>
      </x:c>
      <x:c r="I451" s="38" t="str">
        <x:v>P0</x:v>
      </x:c>
      <x:c r="J451" s="38" t="str">
        <x:v>TODO</x:v>
      </x:c>
      <x:c r="K451" s="39" t="n">
        <x:f>IF(J451="DONE",1,IF(J451="REVIEW",0.8,IF(J451="DOING",0.5,0)))</x:f>
        <x:v>0</x:v>
      </x:c>
      <x:c r="L451" s="40"/>
      <x:c r="M451" s="40"/>
      <x:c r="N451" s="37" t="str"/>
    </x:row>
    <x:row r="452" ht="44" customHeight="1">
      <x:c r="A452" s="18" t="str">
        <x:v>P13-17</x:v>
      </x:c>
      <x:c r="B452" s="18" t="str">
        <x:v>Phase 13 - Report &amp; Demo</x:v>
      </x:c>
      <x:c r="C452" s="18" t="str">
        <x:v>Evidence</x:v>
      </x:c>
      <x:c r="D452" s="37" t="str">
        <x:v>Chụp Airflow DAG/task success và log tiêu biểu</x:v>
      </x:c>
      <x:c r="E452" s="38" t="str">
        <x:v>A</x:v>
      </x:c>
      <x:c r="F452" s="38" t="str">
        <x:v>B</x:v>
      </x:c>
      <x:c r="G452" s="37" t="str">
        <x:v>P12-07, P12-08</x:v>
      </x:c>
      <x:c r="H452" s="37" t="str">
        <x:v>Có timestamp/run thật và không lộ secret</x:v>
      </x:c>
      <x:c r="I452" s="38" t="str">
        <x:v>P0</x:v>
      </x:c>
      <x:c r="J452" s="38" t="str">
        <x:v>TODO</x:v>
      </x:c>
      <x:c r="K452" s="39" t="n">
        <x:f>IF(J452="DONE",1,IF(J452="REVIEW",0.8,IF(J452="DOING",0.5,0)))</x:f>
        <x:v>0</x:v>
      </x:c>
      <x:c r="L452" s="40"/>
      <x:c r="M452" s="40"/>
      <x:c r="N452" s="37" t="str"/>
    </x:row>
    <x:row r="453" ht="44" customHeight="1">
      <x:c r="A453" s="18" t="str">
        <x:v>P13-18</x:v>
      </x:c>
      <x:c r="B453" s="18" t="str">
        <x:v>Phase 13 - Report &amp; Demo</x:v>
      </x:c>
      <x:c r="C453" s="18" t="str">
        <x:v>Evidence</x:v>
      </x:c>
      <x:c r="D453" s="37" t="str">
        <x:v>Chụp MinIO Raw, Processed và metadata</x:v>
      </x:c>
      <x:c r="E453" s="38" t="str">
        <x:v>A</x:v>
      </x:c>
      <x:c r="F453" s="38" t="str">
        <x:v>B</x:v>
      </x:c>
      <x:c r="G453" s="37" t="str">
        <x:v>P12-08</x:v>
      </x:c>
      <x:c r="H453" s="37" t="str">
        <x:v>Object path chứng minh lineage</x:v>
      </x:c>
      <x:c r="I453" s="38" t="str">
        <x:v>P0</x:v>
      </x:c>
      <x:c r="J453" s="38" t="str">
        <x:v>TODO</x:v>
      </x:c>
      <x:c r="K453" s="39" t="n">
        <x:f>IF(J453="DONE",1,IF(J453="REVIEW",0.8,IF(J453="DOING",0.5,0)))</x:f>
        <x:v>0</x:v>
      </x:c>
      <x:c r="L453" s="40"/>
      <x:c r="M453" s="40"/>
      <x:c r="N453" s="37" t="str"/>
    </x:row>
    <x:row r="454" ht="44" customHeight="1">
      <x:c r="A454" s="18" t="str">
        <x:v>P13-19</x:v>
      </x:c>
      <x:c r="B454" s="18" t="str">
        <x:v>Phase 13 - Report &amp; Demo</x:v>
      </x:c>
      <x:c r="C454" s="18" t="str">
        <x:v>Evidence</x:v>
      </x:c>
      <x:c r="D454" s="37" t="str">
        <x:v>Chụp PostgreSQL staging/DWH và row-count queries</x:v>
      </x:c>
      <x:c r="E454" s="38" t="str">
        <x:v>A</x:v>
      </x:c>
      <x:c r="F454" s="38" t="str">
        <x:v>B</x:v>
      </x:c>
      <x:c r="G454" s="37" t="str">
        <x:v>P12-19</x:v>
      </x:c>
      <x:c r="H454" s="37" t="str">
        <x:v>Query/result đọc được và khớp báo cáo</x:v>
      </x:c>
      <x:c r="I454" s="38" t="str">
        <x:v>P0</x:v>
      </x:c>
      <x:c r="J454" s="38" t="str">
        <x:v>TODO</x:v>
      </x:c>
      <x:c r="K454" s="39" t="n">
        <x:f>IF(J454="DONE",1,IF(J454="REVIEW",0.8,IF(J454="DOING",0.5,0)))</x:f>
        <x:v>0</x:v>
      </x:c>
      <x:c r="L454" s="40"/>
      <x:c r="M454" s="40"/>
      <x:c r="N454" s="37" t="str"/>
    </x:row>
    <x:row r="455" ht="44" customHeight="1">
      <x:c r="A455" s="18" t="str">
        <x:v>P13-20</x:v>
      </x:c>
      <x:c r="B455" s="18" t="str">
        <x:v>Phase 13 - Report &amp; Demo</x:v>
      </x:c>
      <x:c r="C455" s="18" t="str">
        <x:v>Evidence</x:v>
      </x:c>
      <x:c r="D455" s="37" t="str">
        <x:v>Chụp dbt models và test pass</x:v>
      </x:c>
      <x:c r="E455" s="38" t="str">
        <x:v>B</x:v>
      </x:c>
      <x:c r="F455" s="38" t="str">
        <x:v>A</x:v>
      </x:c>
      <x:c r="G455" s="37" t="str">
        <x:v>P12-20</x:v>
      </x:c>
      <x:c r="H455" s="37" t="str">
        <x:v>Output từ run thật</x:v>
      </x:c>
      <x:c r="I455" s="38" t="str">
        <x:v>P0</x:v>
      </x:c>
      <x:c r="J455" s="38" t="str">
        <x:v>TODO</x:v>
      </x:c>
      <x:c r="K455" s="39" t="n">
        <x:f>IF(J455="DONE",1,IF(J455="REVIEW",0.8,IF(J455="DOING",0.5,0)))</x:f>
        <x:v>0</x:v>
      </x:c>
      <x:c r="L455" s="40"/>
      <x:c r="M455" s="40"/>
      <x:c r="N455" s="37" t="str"/>
    </x:row>
    <x:row r="456" ht="44" customHeight="1">
      <x:c r="A456" s="18" t="str">
        <x:v>P13-21</x:v>
      </x:c>
      <x:c r="B456" s="18" t="str">
        <x:v>Phase 13 - Report &amp; Demo</x:v>
      </x:c>
      <x:c r="C456" s="18" t="str">
        <x:v>Evidence</x:v>
      </x:c>
      <x:c r="D456" s="37" t="str">
        <x:v>Xuất EDA, clustering và forecast figures chất lượng cao</x:v>
      </x:c>
      <x:c r="E456" s="38" t="str">
        <x:v>B</x:v>
      </x:c>
      <x:c r="F456" s="38" t="str">
        <x:v>A</x:v>
      </x:c>
      <x:c r="G456" s="37" t="str">
        <x:v>P8-30, P9-30, P10-50</x:v>
      </x:c>
      <x:c r="H456" s="37" t="str">
        <x:v>Title, unit, legend và caption đầy đủ</x:v>
      </x:c>
      <x:c r="I456" s="38" t="str">
        <x:v>P0</x:v>
      </x:c>
      <x:c r="J456" s="38" t="str">
        <x:v>TODO</x:v>
      </x:c>
      <x:c r="K456" s="39" t="n">
        <x:f>IF(J456="DONE",1,IF(J456="REVIEW",0.8,IF(J456="DOING",0.5,0)))</x:f>
        <x:v>0</x:v>
      </x:c>
      <x:c r="L456" s="40"/>
      <x:c r="M456" s="40"/>
      <x:c r="N456" s="37" t="str"/>
    </x:row>
    <x:row r="457" ht="44" customHeight="1">
      <x:c r="A457" s="18" t="str">
        <x:v>P13-22</x:v>
      </x:c>
      <x:c r="B457" s="18" t="str">
        <x:v>Phase 13 - Report &amp; Demo</x:v>
      </x:c>
      <x:c r="C457" s="18" t="str">
        <x:v>Evidence</x:v>
      </x:c>
      <x:c r="D457" s="37" t="str">
        <x:v>Chụp các trang dashboard từ dữ liệu thật</x:v>
      </x:c>
      <x:c r="E457" s="38" t="str">
        <x:v>B</x:v>
      </x:c>
      <x:c r="F457" s="38" t="str">
        <x:v>A</x:v>
      </x:c>
      <x:c r="G457" s="37" t="str">
        <x:v>P11-34</x:v>
      </x:c>
      <x:c r="H457" s="37" t="str">
        <x:v>Không dựng screenshot giả</x:v>
      </x:c>
      <x:c r="I457" s="38" t="str">
        <x:v>P0</x:v>
      </x:c>
      <x:c r="J457" s="38" t="str">
        <x:v>TODO</x:v>
      </x:c>
      <x:c r="K457" s="39" t="n">
        <x:f>IF(J457="DONE",1,IF(J457="REVIEW",0.8,IF(J457="DOING",0.5,0)))</x:f>
        <x:v>0</x:v>
      </x:c>
      <x:c r="L457" s="40"/>
      <x:c r="M457" s="40"/>
      <x:c r="N457" s="37" t="str"/>
    </x:row>
    <x:row r="458" ht="44" customHeight="1">
      <x:c r="A458" s="18" t="str">
        <x:v>P13-23</x:v>
      </x:c>
      <x:c r="B458" s="18" t="str">
        <x:v>Phase 13 - Report &amp; Demo</x:v>
      </x:c>
      <x:c r="C458" s="18" t="str">
        <x:v>References</x:v>
      </x:c>
      <x:c r="D458" s="37" t="str">
        <x:v>Tổng hợp citation cho dataset, tools và metadata</x:v>
      </x:c>
      <x:c r="E458" s="38" t="str">
        <x:v>B</x:v>
      </x:c>
      <x:c r="F458" s="38" t="str">
        <x:v>A</x:v>
      </x:c>
      <x:c r="G458" s="37" t="str">
        <x:v>P13-03 đến P13-15</x:v>
      </x:c>
      <x:c r="H458" s="37" t="str">
        <x:v>Citation nhất quán và truy cập được</x:v>
      </x:c>
      <x:c r="I458" s="38" t="str">
        <x:v>P1</x:v>
      </x:c>
      <x:c r="J458" s="38" t="str">
        <x:v>TODO</x:v>
      </x:c>
      <x:c r="K458" s="39" t="n">
        <x:f>IF(J458="DONE",1,IF(J458="REVIEW",0.8,IF(J458="DOING",0.5,0)))</x:f>
        <x:v>0</x:v>
      </x:c>
      <x:c r="L458" s="40"/>
      <x:c r="M458" s="40"/>
      <x:c r="N458" s="37" t="str"/>
    </x:row>
    <x:row r="459" ht="44" customHeight="1">
      <x:c r="A459" s="18" t="str">
        <x:v>P13-24</x:v>
      </x:c>
      <x:c r="B459" s="18" t="str">
        <x:v>Phase 13 - Report &amp; Demo</x:v>
      </x:c>
      <x:c r="C459" s="18" t="str">
        <x:v>Report QA</x:v>
      </x:c>
      <x:c r="D459" s="37" t="str">
        <x:v>Rà số liệu trong text, tables và figures</x:v>
      </x:c>
      <x:c r="E459" s="38" t="str">
        <x:v>A</x:v>
      </x:c>
      <x:c r="F459" s="38" t="str">
        <x:v>B</x:v>
      </x:c>
      <x:c r="G459" s="37" t="str">
        <x:v>P13-03 đến P13-23</x:v>
      </x:c>
      <x:c r="H459" s="37" t="str">
        <x:v>Metric, row count, period và model version nhất quán</x:v>
      </x:c>
      <x:c r="I459" s="38" t="str">
        <x:v>P0</x:v>
      </x:c>
      <x:c r="J459" s="38" t="str">
        <x:v>TODO</x:v>
      </x:c>
      <x:c r="K459" s="39" t="n">
        <x:f>IF(J459="DONE",1,IF(J459="REVIEW",0.8,IF(J459="DOING",0.5,0)))</x:f>
        <x:v>0</x:v>
      </x:c>
      <x:c r="L459" s="40"/>
      <x:c r="M459" s="40"/>
      <x:c r="N459" s="37" t="str"/>
    </x:row>
    <x:row r="460" ht="44" customHeight="1">
      <x:c r="A460" s="18" t="str">
        <x:v>P13-25</x:v>
      </x:c>
      <x:c r="B460" s="18" t="str">
        <x:v>Phase 13 - Report &amp; Demo</x:v>
      </x:c>
      <x:c r="C460" s="18" t="str">
        <x:v>Report QA</x:v>
      </x:c>
      <x:c r="D460" s="37" t="str">
        <x:v>Rà thuật ngữ, caption, chính tả và format</x:v>
      </x:c>
      <x:c r="E460" s="38" t="str">
        <x:v>A+B</x:v>
      </x:c>
      <x:c r="F460" s="38" t="str">
        <x:v>A+B</x:v>
      </x:c>
      <x:c r="G460" s="37" t="str">
        <x:v>P13-24</x:v>
      </x:c>
      <x:c r="H460" s="37" t="str">
        <x:v>Báo cáo dễ đọc và không có placeholder</x:v>
      </x:c>
      <x:c r="I460" s="38" t="str">
        <x:v>P1</x:v>
      </x:c>
      <x:c r="J460" s="38" t="str">
        <x:v>TODO</x:v>
      </x:c>
      <x:c r="K460" s="39" t="n">
        <x:f>IF(J460="DONE",1,IF(J460="REVIEW",0.8,IF(J460="DOING",0.5,0)))</x:f>
        <x:v>0</x:v>
      </x:c>
      <x:c r="L460" s="40"/>
      <x:c r="M460" s="40"/>
      <x:c r="N460" s="37" t="str"/>
    </x:row>
    <x:row r="461" ht="44" customHeight="1">
      <x:c r="A461" s="18" t="str">
        <x:v>P13-26</x:v>
      </x:c>
      <x:c r="B461" s="18" t="str">
        <x:v>Phase 13 - Report &amp; Demo</x:v>
      </x:c>
      <x:c r="C461" s="18" t="str">
        <x:v>Presentation</x:v>
      </x:c>
      <x:c r="D461" s="37" t="str">
        <x:v>Tạo outline slide theo câu chuyện project</x:v>
      </x:c>
      <x:c r="E461" s="38" t="str">
        <x:v>A+B</x:v>
      </x:c>
      <x:c r="F461" s="38" t="str">
        <x:v>A+B</x:v>
      </x:c>
      <x:c r="G461" s="37" t="str">
        <x:v>P13-25</x:v>
      </x:c>
      <x:c r="H461" s="37" t="str">
        <x:v>Flow problem→data→architecture→DWH→mining→result</x:v>
      </x:c>
      <x:c r="I461" s="38" t="str">
        <x:v>P0</x:v>
      </x:c>
      <x:c r="J461" s="38" t="str">
        <x:v>TODO</x:v>
      </x:c>
      <x:c r="K461" s="39" t="n">
        <x:f>IF(J461="DONE",1,IF(J461="REVIEW",0.8,IF(J461="DOING",0.5,0)))</x:f>
        <x:v>0</x:v>
      </x:c>
      <x:c r="L461" s="40"/>
      <x:c r="M461" s="40"/>
      <x:c r="N461" s="37" t="str"/>
    </x:row>
    <x:row r="462" ht="44" customHeight="1">
      <x:c r="A462" s="18" t="str">
        <x:v>P13-27</x:v>
      </x:c>
      <x:c r="B462" s="18" t="str">
        <x:v>Phase 13 - Report &amp; Demo</x:v>
      </x:c>
      <x:c r="C462" s="18" t="str">
        <x:v>Presentation</x:v>
      </x:c>
      <x:c r="D462" s="37" t="str">
        <x:v>Phân chia slide và thời lượng cho A/B</x:v>
      </x:c>
      <x:c r="E462" s="38" t="str">
        <x:v>A+B</x:v>
      </x:c>
      <x:c r="F462" s="38" t="str">
        <x:v>A+B</x:v>
      </x:c>
      <x:c r="G462" s="37" t="str">
        <x:v>P13-26</x:v>
      </x:c>
      <x:c r="H462" s="37" t="str">
        <x:v>Hai người có phần cân đối và hiểu transition</x:v>
      </x:c>
      <x:c r="I462" s="38" t="str">
        <x:v>P0</x:v>
      </x:c>
      <x:c r="J462" s="38" t="str">
        <x:v>TODO</x:v>
      </x:c>
      <x:c r="K462" s="39" t="n">
        <x:f>IF(J462="DONE",1,IF(J462="REVIEW",0.8,IF(J462="DOING",0.5,0)))</x:f>
        <x:v>0</x:v>
      </x:c>
      <x:c r="L462" s="40"/>
      <x:c r="M462" s="40"/>
      <x:c r="N462" s="37" t="str"/>
    </x:row>
    <x:row r="463" ht="44" customHeight="1">
      <x:c r="A463" s="18" t="str">
        <x:v>P13-28</x:v>
      </x:c>
      <x:c r="B463" s="18" t="str">
        <x:v>Phase 13 - Report &amp; Demo</x:v>
      </x:c>
      <x:c r="C463" s="18" t="str">
        <x:v>Demo script</x:v>
      </x:c>
      <x:c r="D463" s="37" t="str">
        <x:v>Viết kịch bản demo theo thứ tự ít rủi ro</x:v>
      </x:c>
      <x:c r="E463" s="38" t="str">
        <x:v>A</x:v>
      </x:c>
      <x:c r="F463" s="38" t="str">
        <x:v>B</x:v>
      </x:c>
      <x:c r="G463" s="37" t="str">
        <x:v>P12-36, P13-26</x:v>
      </x:c>
      <x:c r="H463" s="37" t="str">
        <x:v>Có thao tác, dữ liệu dự kiến và thời lượng từng bước</x:v>
      </x:c>
      <x:c r="I463" s="38" t="str">
        <x:v>P0</x:v>
      </x:c>
      <x:c r="J463" s="38" t="str">
        <x:v>TODO</x:v>
      </x:c>
      <x:c r="K463" s="39" t="n">
        <x:f>IF(J463="DONE",1,IF(J463="REVIEW",0.8,IF(J463="DOING",0.5,0)))</x:f>
        <x:v>0</x:v>
      </x:c>
      <x:c r="L463" s="40"/>
      <x:c r="M463" s="40"/>
      <x:c r="N463" s="37" t="str"/>
    </x:row>
    <x:row r="464" ht="44" customHeight="1">
      <x:c r="A464" s="18" t="str">
        <x:v>P13-29</x:v>
      </x:c>
      <x:c r="B464" s="18" t="str">
        <x:v>Phase 13 - Report &amp; Demo</x:v>
      </x:c>
      <x:c r="C464" s="18" t="str">
        <x:v>Demo script</x:v>
      </x:c>
      <x:c r="D464" s="37" t="str">
        <x:v>Chọn phần live và phần dùng evidence có sẵn</x:v>
      </x:c>
      <x:c r="E464" s="38" t="str">
        <x:v>A+B</x:v>
      </x:c>
      <x:c r="F464" s="38" t="str">
        <x:v>A+B</x:v>
      </x:c>
      <x:c r="G464" s="37" t="str">
        <x:v>P13-28</x:v>
      </x:c>
      <x:c r="H464" s="37" t="str">
        <x:v>Không chạy full pipeline dài trong giờ trình bày</x:v>
      </x:c>
      <x:c r="I464" s="38" t="str">
        <x:v>P0</x:v>
      </x:c>
      <x:c r="J464" s="38" t="str">
        <x:v>TODO</x:v>
      </x:c>
      <x:c r="K464" s="39" t="n">
        <x:f>IF(J464="DONE",1,IF(J464="REVIEW",0.8,IF(J464="DOING",0.5,0)))</x:f>
        <x:v>0</x:v>
      </x:c>
      <x:c r="L464" s="40"/>
      <x:c r="M464" s="40"/>
      <x:c r="N464" s="37" t="str"/>
    </x:row>
    <x:row r="465" ht="44" customHeight="1">
      <x:c r="A465" s="18" t="str">
        <x:v>P13-30</x:v>
      </x:c>
      <x:c r="B465" s="18" t="str">
        <x:v>Phase 13 - Report &amp; Demo</x:v>
      </x:c>
      <x:c r="C465" s="18" t="str">
        <x:v>Demo backup</x:v>
      </x:c>
      <x:c r="D465" s="37" t="str">
        <x:v>Chuẩn bị database/model/dashboard snapshot dự phòng</x:v>
      </x:c>
      <x:c r="E465" s="38" t="str">
        <x:v>A</x:v>
      </x:c>
      <x:c r="F465" s="38" t="str">
        <x:v>B</x:v>
      </x:c>
      <x:c r="G465" s="37" t="str">
        <x:v>P12-30, P13-29</x:v>
      </x:c>
      <x:c r="H465" s="37" t="str">
        <x:v>Demo vẫn tiếp tục khi network/container lỗi</x:v>
      </x:c>
      <x:c r="I465" s="38" t="str">
        <x:v>P0</x:v>
      </x:c>
      <x:c r="J465" s="38" t="str">
        <x:v>TODO</x:v>
      </x:c>
      <x:c r="K465" s="39" t="n">
        <x:f>IF(J465="DONE",1,IF(J465="REVIEW",0.8,IF(J465="DOING",0.5,0)))</x:f>
        <x:v>0</x:v>
      </x:c>
      <x:c r="L465" s="40"/>
      <x:c r="M465" s="40"/>
      <x:c r="N465" s="37" t="str"/>
    </x:row>
    <x:row r="466" ht="44" customHeight="1">
      <x:c r="A466" s="18" t="str">
        <x:v>P13-31</x:v>
      </x:c>
      <x:c r="B466" s="18" t="str">
        <x:v>Phase 13 - Report &amp; Demo</x:v>
      </x:c>
      <x:c r="C466" s="18" t="str">
        <x:v>Q&amp;A</x:v>
      </x:c>
      <x:c r="D466" s="37" t="str">
        <x:v>Soạn câu trả lời cho kiến trúc, grain, missing và Open-Meteo</x:v>
      </x:c>
      <x:c r="E466" s="38" t="str">
        <x:v>A+B</x:v>
      </x:c>
      <x:c r="F466" s="38" t="str">
        <x:v>A+B</x:v>
      </x:c>
      <x:c r="G466" s="37" t="str">
        <x:v>P13-06 đến P13-09</x:v>
      </x:c>
      <x:c r="H466" s="37" t="str">
        <x:v>Cả hai trả lời được câu hỏi nền tảng</x:v>
      </x:c>
      <x:c r="I466" s="38" t="str">
        <x:v>P0</x:v>
      </x:c>
      <x:c r="J466" s="38" t="str">
        <x:v>TODO</x:v>
      </x:c>
      <x:c r="K466" s="39" t="n">
        <x:f>IF(J466="DONE",1,IF(J466="REVIEW",0.8,IF(J466="DOING",0.5,0)))</x:f>
        <x:v>0</x:v>
      </x:c>
      <x:c r="L466" s="40"/>
      <x:c r="M466" s="40"/>
      <x:c r="N466" s="37" t="str"/>
    </x:row>
    <x:row r="467" ht="44" customHeight="1">
      <x:c r="A467" s="18" t="str">
        <x:v>P13-32</x:v>
      </x:c>
      <x:c r="B467" s="18" t="str">
        <x:v>Phase 13 - Report &amp; Demo</x:v>
      </x:c>
      <x:c r="C467" s="18" t="str">
        <x:v>Q&amp;A</x:v>
      </x:c>
      <x:c r="D467" s="37" t="str">
        <x:v>Soạn câu trả lời cho clustering, baseline, leakage và metrics</x:v>
      </x:c>
      <x:c r="E467" s="38" t="str">
        <x:v>A+B</x:v>
      </x:c>
      <x:c r="F467" s="38" t="str">
        <x:v>A+B</x:v>
      </x:c>
      <x:c r="G467" s="37" t="str">
        <x:v>P13-10 đến P13-13</x:v>
      </x:c>
      <x:c r="H467" s="37" t="str">
        <x:v>Cả hai giải thích được kết quả ML</x:v>
      </x:c>
      <x:c r="I467" s="38" t="str">
        <x:v>P0</x:v>
      </x:c>
      <x:c r="J467" s="38" t="str">
        <x:v>TODO</x:v>
      </x:c>
      <x:c r="K467" s="39" t="n">
        <x:f>IF(J467="DONE",1,IF(J467="REVIEW",0.8,IF(J467="DOING",0.5,0)))</x:f>
        <x:v>0</x:v>
      </x:c>
      <x:c r="L467" s="40"/>
      <x:c r="M467" s="40"/>
      <x:c r="N467" s="37" t="str"/>
    </x:row>
    <x:row r="468" ht="44" customHeight="1">
      <x:c r="A468" s="18" t="str">
        <x:v>P13-33</x:v>
      </x:c>
      <x:c r="B468" s="18" t="str">
        <x:v>Phase 13 - Report &amp; Demo</x:v>
      </x:c>
      <x:c r="C468" s="18" t="str">
        <x:v>Rehearsal</x:v>
      </x:c>
      <x:c r="D468" s="37" t="str">
        <x:v>Chạy thử presentation và demo lần 1</x:v>
      </x:c>
      <x:c r="E468" s="38" t="str">
        <x:v>A+B</x:v>
      </x:c>
      <x:c r="F468" s="38" t="str">
        <x:v>A+B</x:v>
      </x:c>
      <x:c r="G468" s="37" t="str">
        <x:v>P13-27 đến P13-32</x:v>
      </x:c>
      <x:c r="H468" s="37" t="str">
        <x:v>Ghi thời lượng, lỗi và câu hỏi chưa trả lời tốt</x:v>
      </x:c>
      <x:c r="I468" s="38" t="str">
        <x:v>P0</x:v>
      </x:c>
      <x:c r="J468" s="38" t="str">
        <x:v>TODO</x:v>
      </x:c>
      <x:c r="K468" s="39" t="n">
        <x:f>IF(J468="DONE",1,IF(J468="REVIEW",0.8,IF(J468="DOING",0.5,0)))</x:f>
        <x:v>0</x:v>
      </x:c>
      <x:c r="L468" s="40"/>
      <x:c r="M468" s="40"/>
      <x:c r="N468" s="37" t="str"/>
    </x:row>
    <x:row r="469" ht="44" customHeight="1">
      <x:c r="A469" s="18" t="str">
        <x:v>P13-34</x:v>
      </x:c>
      <x:c r="B469" s="18" t="str">
        <x:v>Phase 13 - Report &amp; Demo</x:v>
      </x:c>
      <x:c r="C469" s="18" t="str">
        <x:v>Rehearsal</x:v>
      </x:c>
      <x:c r="D469" s="37" t="str">
        <x:v>Sửa vấn đề và chạy thử lần 2 trên máy trình bày</x:v>
      </x:c>
      <x:c r="E469" s="38" t="str">
        <x:v>A+B</x:v>
      </x:c>
      <x:c r="F469" s="38" t="str">
        <x:v>A+B</x:v>
      </x:c>
      <x:c r="G469" s="37" t="str">
        <x:v>P13-33</x:v>
      </x:c>
      <x:c r="H469" s="37" t="str">
        <x:v>Hoàn thành trong thời lượng và recovery plan hoạt động</x:v>
      </x:c>
      <x:c r="I469" s="38" t="str">
        <x:v>P0</x:v>
      </x:c>
      <x:c r="J469" s="38" t="str">
        <x:v>TODO</x:v>
      </x:c>
      <x:c r="K469" s="39" t="n">
        <x:f>IF(J469="DONE",1,IF(J469="REVIEW",0.8,IF(J469="DOING",0.5,0)))</x:f>
        <x:v>0</x:v>
      </x:c>
      <x:c r="L469" s="40"/>
      <x:c r="M469" s="40"/>
      <x:c r="N469" s="37" t="str"/>
    </x:row>
    <x:row r="470" ht="44" customHeight="1">
      <x:c r="A470" s="18" t="str">
        <x:v>P13-35</x:v>
      </x:c>
      <x:c r="B470" s="18" t="str">
        <x:v>Phase 13 - Report &amp; Demo</x:v>
      </x:c>
      <x:c r="C470" s="18" t="str">
        <x:v>Submission</x:v>
      </x:c>
      <x:c r="D470" s="37" t="str">
        <x:v>Đóng gói report, source, config mẫu và hướng dẫn</x:v>
      </x:c>
      <x:c r="E470" s="38" t="str">
        <x:v>A</x:v>
      </x:c>
      <x:c r="F470" s="38" t="str">
        <x:v>B</x:v>
      </x:c>
      <x:c r="G470" s="37" t="str">
        <x:v>P13-25, P13-34</x:v>
      </x:c>
      <x:c r="H470" s="37" t="str">
        <x:v>Không kèm secret/raw volume thừa; file mở được</x:v>
      </x:c>
      <x:c r="I470" s="38" t="str">
        <x:v>P0</x:v>
      </x:c>
      <x:c r="J470" s="38" t="str">
        <x:v>TODO</x:v>
      </x:c>
      <x:c r="K470" s="39" t="n">
        <x:f>IF(J470="DONE",1,IF(J470="REVIEW",0.8,IF(J470="DOING",0.5,0)))</x:f>
        <x:v>0</x:v>
      </x:c>
      <x:c r="L470" s="40"/>
      <x:c r="M470" s="40"/>
      <x:c r="N470" s="37" t="str"/>
    </x:row>
    <x:row r="471" ht="44" customHeight="1">
      <x:c r="A471" s="18" t="str">
        <x:v>P13-36</x:v>
      </x:c>
      <x:c r="B471" s="18" t="str">
        <x:v>Phase 13 - Report &amp; Demo</x:v>
      </x:c>
      <x:c r="C471" s="18" t="str">
        <x:v>Final checkpoint</x:v>
      </x:c>
      <x:c r="D471" s="37" t="str">
        <x:v>Kiểm tra submission và cập nhật PROGRESS.md hoàn tất</x:v>
      </x:c>
      <x:c r="E471" s="38" t="str">
        <x:v>A+B</x:v>
      </x:c>
      <x:c r="F471" s="38" t="str">
        <x:v>A+B</x:v>
      </x:c>
      <x:c r="G471" s="37" t="str">
        <x:v>P13-35</x:v>
      </x:c>
      <x:c r="H471" s="37" t="str">
        <x:v>Project DONE; evidence và bản nộp được sao lưu</x:v>
      </x:c>
      <x:c r="I471" s="38" t="str">
        <x:v>P0</x:v>
      </x:c>
      <x:c r="J471" s="38" t="str">
        <x:v>TODO</x:v>
      </x:c>
      <x:c r="K471" s="39" t="n">
        <x:f>IF(J471="DONE",1,IF(J471="REVIEW",0.8,IF(J471="DOING",0.5,0)))</x:f>
        <x:v>0</x:v>
      </x:c>
      <x:c r="L471" s="40"/>
      <x:c r="M471" s="40"/>
      <x:c r="N471" s="37" t="str"/>
    </x:row>
  </x:sheetData>
  <x:mergeCells>
    <x:mergeCell ref="A2:N2"/>
    <x:mergeCell ref="A3:N3"/>
  </x:mergeCells>
  <x:conditionalFormatting sqref="J10:J74">
    <x:cfRule type="containsText" dxfId="0" priority="1" operator="containsText" text="DONE"/>
    <x:cfRule type="containsText" dxfId="1" priority="2" operator="containsText" text="DOING"/>
    <x:cfRule type="containsText" dxfId="2" priority="3" operator="containsText" text="REVIEW"/>
    <x:cfRule type="containsText" dxfId="3" priority="4" operator="containsText" text="BLOCKED"/>
  </x:conditionalFormatting>
  <x:conditionalFormatting sqref="I10:I74">
    <x:cfRule type="containsText" dxfId="4" priority="5" operator="containsText" text="P0"/>
  </x:conditionalFormatting>
  <x:conditionalFormatting sqref="J10:J158">
    <x:cfRule type="containsText" dxfId="5" priority="6" operator="containsText" text="DONE"/>
    <x:cfRule type="containsText" dxfId="6" priority="7" operator="containsText" text="DOING"/>
    <x:cfRule type="containsText" dxfId="7" priority="8" operator="containsText" text="REVIEW"/>
    <x:cfRule type="containsText" dxfId="8" priority="9" operator="containsText" text="BLOCKED"/>
  </x:conditionalFormatting>
  <x:conditionalFormatting sqref="I10:I158">
    <x:cfRule type="containsText" dxfId="9" priority="10" operator="containsText" text="P0"/>
  </x:conditionalFormatting>
  <x:conditionalFormatting sqref="J10:J255">
    <x:cfRule type="containsText" dxfId="10" priority="11" operator="containsText" text="DONE"/>
    <x:cfRule type="containsText" dxfId="11" priority="12" operator="containsText" text="DOING"/>
    <x:cfRule type="containsText" dxfId="12" priority="13" operator="containsText" text="REVIEW"/>
    <x:cfRule type="containsText" dxfId="13" priority="14" operator="containsText" text="BLOCKED"/>
  </x:conditionalFormatting>
  <x:conditionalFormatting sqref="I10:I255">
    <x:cfRule type="containsText" dxfId="14" priority="15" operator="containsText" text="P0"/>
  </x:conditionalFormatting>
  <x:conditionalFormatting sqref="J10:J365">
    <x:cfRule type="containsText" dxfId="15" priority="16" operator="containsText" text="DONE"/>
    <x:cfRule type="containsText" dxfId="16" priority="17" operator="containsText" text="DOING"/>
    <x:cfRule type="containsText" dxfId="17" priority="18" operator="containsText" text="REVIEW"/>
    <x:cfRule type="containsText" dxfId="18" priority="19" operator="containsText" text="BLOCKED"/>
  </x:conditionalFormatting>
  <x:conditionalFormatting sqref="I10:I365">
    <x:cfRule type="containsText" dxfId="19" priority="20" operator="containsText" text="P0"/>
  </x:conditionalFormatting>
  <x:conditionalFormatting sqref="J10:J471">
    <x:cfRule type="containsText" dxfId="20" priority="21" operator="containsText" text="DONE"/>
    <x:cfRule type="containsText" dxfId="21" priority="22" operator="containsText" text="DOING"/>
    <x:cfRule type="containsText" dxfId="22" priority="23" operator="containsText" text="REVIEW"/>
    <x:cfRule type="containsText" dxfId="23" priority="24" operator="containsText" text="BLOCKED"/>
  </x:conditionalFormatting>
  <x:conditionalFormatting sqref="I10:I471">
    <x:cfRule type="containsText" dxfId="24" priority="25" operator="containsText" text="P0"/>
  </x:conditionalFormatting>
  <x:dataValidations count="20">
    <x:dataValidation type="list" sqref="E10:E74">
      <x:formula1>"A,B,A+B"</x:formula1>
    </x:dataValidation>
    <x:dataValidation type="list" sqref="F10:F74">
      <x:formula1>"A,B,A+B"</x:formula1>
    </x:dataValidation>
    <x:dataValidation type="list" sqref="I10:I74">
      <x:formula1>"P0,P1,P2"</x:formula1>
    </x:dataValidation>
    <x:dataValidation type="list" sqref="J10:J74">
      <x:formula1>"TODO,DOING,REVIEW,DONE,BLOCKED"</x:formula1>
    </x:dataValidation>
    <x:dataValidation type="list" sqref="E10:E158">
      <x:formula1>"A,B,A+B"</x:formula1>
    </x:dataValidation>
    <x:dataValidation type="list" sqref="F10:F158">
      <x:formula1>"A,B,A+B"</x:formula1>
    </x:dataValidation>
    <x:dataValidation type="list" sqref="I10:I158">
      <x:formula1>"P0,P1,P2"</x:formula1>
    </x:dataValidation>
    <x:dataValidation type="list" sqref="J10:J158">
      <x:formula1>"TODO,DOING,REVIEW,DONE,BLOCKED"</x:formula1>
    </x:dataValidation>
    <x:dataValidation type="list" sqref="E10:E255">
      <x:formula1>"A,B,A+B"</x:formula1>
    </x:dataValidation>
    <x:dataValidation type="list" sqref="F10:F255">
      <x:formula1>"A,B,A+B"</x:formula1>
    </x:dataValidation>
    <x:dataValidation type="list" sqref="I10:I255">
      <x:formula1>"P0,P1,P2"</x:formula1>
    </x:dataValidation>
    <x:dataValidation type="list" sqref="J10:J255">
      <x:formula1>"TODO,DOING,REVIEW,DONE,BLOCKED"</x:formula1>
    </x:dataValidation>
    <x:dataValidation type="list" sqref="E10:E365">
      <x:formula1>"A,B,A+B"</x:formula1>
    </x:dataValidation>
    <x:dataValidation type="list" sqref="F10:F365">
      <x:formula1>"A,B,A+B"</x:formula1>
    </x:dataValidation>
    <x:dataValidation type="list" sqref="I10:I365">
      <x:formula1>"P0,P1,P2"</x:formula1>
    </x:dataValidation>
    <x:dataValidation type="list" sqref="J10:J365">
      <x:formula1>"TODO,DOING,REVIEW,DONE,BLOCKED"</x:formula1>
    </x:dataValidation>
    <x:dataValidation type="list" sqref="E10:E471">
      <x:formula1>"A,B,A+B"</x:formula1>
    </x:dataValidation>
    <x:dataValidation type="list" sqref="F10:F471">
      <x:formula1>"A,B,A+B"</x:formula1>
    </x:dataValidation>
    <x:dataValidation type="list" sqref="I10:I471">
      <x:formula1>"P0,P1,P2"</x:formula1>
    </x:dataValidation>
    <x:dataValidation type="list" sqref="J10:J471">
      <x:formula1>"TODO,DOING,REVIEW,DONE,BLOCKED"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f692e90a45473d"/>
  </x:tableParts>
</x:worksheet>
</file>

<file path=xl/worksheets/sheet2.xml><?xml version="1.0" encoding="utf-8"?>
<x:worksheet xmlns:x="http://schemas.openxmlformats.org/spreadsheetml/2006/main">
  <x:sheetPr>
    <x:tabColor rgb="FF94A3B8"/>
  </x:sheetPr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12" hidden="0" customWidth="1"/>
    <x:col min="4" max="4" width="12" hidden="0" customWidth="1"/>
    <x:col min="5" max="5" width="30" hidden="0" customWidth="1"/>
    <x:col min="6" max="6" width="38" hidden="0" customWidth="1"/>
  </x:cols>
  <x:sheetData>
    <x:row r="2">
      <x:c r="A2" s="1" t="str">
        <x:v>Danh mục và hướng dẫn sử dụng</x:v>
      </x:c>
    </x:row>
    <x:row r="4" ht="30" customHeight="1">
      <x:c r="A4" s="27" t="str">
        <x:v>Status</x:v>
      </x:c>
      <x:c r="B4" s="27" t="str">
        <x:v>Ý nghĩa</x:v>
      </x:c>
      <x:c r="C4" s="27" t="str">
        <x:v>Owner</x:v>
      </x:c>
      <x:c r="D4" s="27" t="str">
        <x:v>Priority</x:v>
      </x:c>
      <x:c r="E4" s="27" t="str">
        <x:v>Ý nghĩa ưu tiên</x:v>
      </x:c>
      <x:c r="F4" s="27" t="str">
        <x:v>Quy trình</x:v>
      </x:c>
    </x:row>
    <x:row r="5" ht="32" customHeight="1">
      <x:c r="A5" s="28" t="str">
        <x:v>TODO</x:v>
      </x:c>
      <x:c r="B5" s="28" t="str">
        <x:v>Chưa bắt đầu</x:v>
      </x:c>
      <x:c r="C5" s="28" t="str">
        <x:v>A</x:v>
      </x:c>
      <x:c r="D5" s="28" t="str">
        <x:v>P0</x:v>
      </x:c>
      <x:c r="E5" s="28" t="str">
        <x:v>Bắt buộc / chặn task sau</x:v>
      </x:c>
      <x:c r="F5" s="28" t="str">
        <x:v>Owner làm xong → chuyển REVIEW</x:v>
      </x:c>
    </x:row>
    <x:row r="6" ht="32" customHeight="1">
      <x:c r="A6" s="28" t="str">
        <x:v>DOING</x:v>
      </x:c>
      <x:c r="B6" s="28" t="str">
        <x:v>Đang thực hiện</x:v>
      </x:c>
      <x:c r="C6" s="28" t="str">
        <x:v>B</x:v>
      </x:c>
      <x:c r="D6" s="28" t="str">
        <x:v>P1</x:v>
      </x:c>
      <x:c r="E6" s="28" t="str">
        <x:v>Quan trọng nhưng không chặn ngay</x:v>
      </x:c>
      <x:c r="F6" s="28" t="str">
        <x:v>Reviewer kiểm tra khi có thời gian</x:v>
      </x:c>
    </x:row>
    <x:row r="7" ht="32" customHeight="1">
      <x:c r="A7" s="28" t="str">
        <x:v>REVIEW</x:v>
      </x:c>
      <x:c r="B7" s="28" t="str">
        <x:v>Chờ người còn lại kiểm tra</x:v>
      </x:c>
      <x:c r="C7" s="28" t="str">
        <x:v>A+B</x:v>
      </x:c>
      <x:c r="D7" s="28" t="str">
        <x:v>P2</x:v>
      </x:c>
      <x:c r="E7" s="28" t="str">
        <x:v>Có thể làm nếu còn thời gian</x:v>
      </x:c>
      <x:c r="F7" s="28" t="str">
        <x:v>Đạt điều kiện DONE → chuyển DONE</x:v>
      </x:c>
    </x:row>
    <x:row r="8" ht="32" customHeight="1">
      <x:c r="A8" s="28" t="str">
        <x:v>DONE</x:v>
      </x:c>
      <x:c r="B8" s="28" t="str">
        <x:v>Đã hoàn thành</x:v>
      </x:c>
      <x:c r="C8" s="28" t="str"/>
      <x:c r="D8" s="28" t="str"/>
      <x:c r="E8" s="28" t="str"/>
      <x:c r="F8" s="28" t="str">
        <x:v>Không đạt → ghi Ghi chú và trả DOING</x:v>
      </x:c>
    </x:row>
    <x:row r="9" ht="32" customHeight="1">
      <x:c r="A9" s="28" t="str">
        <x:v>BLOCKED</x:v>
      </x:c>
      <x:c r="B9" s="28" t="str">
        <x:v>Đang bị chặn</x:v>
      </x:c>
      <x:c r="C9" s="28" t="str"/>
      <x:c r="D9" s="28" t="str"/>
      <x:c r="E9" s="28" t="str"/>
      <x:c r="F9" s="28" t="str">
        <x:v>BLOCKED phải ghi rõ lý do ở Ghi chú</x:v>
      </x:c>
    </x:row>
    <x:row r="11">
      <x:c r="A11" s="30" t="str">
        <x:v>Nguyên tắc cập nhật</x:v>
      </x:c>
    </x:row>
    <x:row r="12" ht="24" customHeight="1">
      <x:c r="A12" s="33" t="str">
        <x:v>1. Chỉ đổi sang DONE khi Deliverable / Điều kiện DONE đã đạt.</x:v>
      </x:c>
      <x:c r="B12" s="33"/>
      <x:c r="C12" s="33"/>
      <x:c r="D12" s="33"/>
      <x:c r="E12" s="33"/>
      <x:c r="F12" s="33"/>
    </x:row>
    <x:row r="13" ht="24" customHeight="1">
      <x:c r="A13" s="33" t="str">
        <x:v>2. Khi BLOCKED, ghi rõ vướng mắc và người cần hỗ trợ trong cột Ghi chú.</x:v>
      </x:c>
      <x:c r="B13" s="33"/>
      <x:c r="C13" s="33"/>
      <x:c r="D13" s="33"/>
      <x:c r="E13" s="33"/>
      <x:c r="F13" s="33"/>
    </x:row>
    <x:row r="14" ht="24" customHeight="1">
      <x:c r="A14" s="33" t="str">
        <x:v>3. Dependency là task cần hoàn tất trước; không phải người phụ trách.</x:v>
      </x:c>
      <x:c r="B14" s="33"/>
      <x:c r="C14" s="33"/>
      <x:c r="D14" s="33"/>
      <x:c r="E14" s="33"/>
      <x:c r="F14" s="33"/>
    </x:row>
    <x:row r="15" ht="24" customHeight="1">
      <x:c r="A15" s="33" t="str">
        <x:v>4. Ngày bắt đầu và hạn hoàn thành là ô nhập thủ công để hai người tự thống nhất.</x:v>
      </x:c>
      <x:c r="B15" s="33"/>
      <x:c r="C15" s="33"/>
      <x:c r="D15" s="33"/>
      <x:c r="E15" s="33"/>
      <x:c r="F15" s="33"/>
    </x:row>
  </x:sheetData>
  <x:mergeCells>
    <x:mergeCell ref="A2:F2"/>
    <x:mergeCell ref="A11:F11"/>
    <x:mergeCell ref="A12:F12"/>
    <x:mergeCell ref="A13:F13"/>
    <x:mergeCell ref="A14:F14"/>
    <x:mergeCell ref="A15:F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1" hidden="0" customWidth="1"/>
    <x:col min="2" max="2" width="12" hidden="0" customWidth="1"/>
    <x:col min="3" max="3" width="36" hidden="0" customWidth="1"/>
    <x:col min="4" max="4" width="21" hidden="0" customWidth="1"/>
    <x:col min="5" max="5" width="10" hidden="0" customWidth="1"/>
    <x:col min="6" max="6" width="10" hidden="0" customWidth="1"/>
    <x:col min="7" max="7" width="18" hidden="0" customWidth="1"/>
    <x:col min="8" max="8" width="40" hidden="0" customWidth="1"/>
    <x:col min="9" max="9" width="10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6" hidden="0" customWidth="1"/>
  </x:cols>
  <x:sheetData>
    <x:row r="2">
      <x:c r="A2" s="1" t="str">
        <x:v>KẾ HOẠCH THỰC HIỆN — Bản tinh gọn</x:v>
      </x:c>
    </x:row>
    <x:row r="3">
      <x:c r="A3" s="3" t="str">
        <x:v>Dùng sheet này hằng ngày. Khi cần thao tác chi tiết, tra cột Phạm vi chi tiết trong sheet WBS.</x:v>
      </x:c>
    </x:row>
    <x:row r="5">
      <x:c r="A5" s="42" t="str">
        <x:v>Tổng gói việc</x:v>
      </x:c>
      <x:c r="B5" s="45" t="n">
        <x:v>76</x:v>
      </x:c>
      <x:c r="C5" s="42" t="str">
        <x:v>Đã xong</x:v>
      </x:c>
      <x:c r="D5" s="45" t="n">
        <x:f>COUNTIF($J$10:$J$85,"DONE")</x:f>
        <x:v>0</x:v>
      </x:c>
      <x:c r="E5" s="42" t="str">
        <x:v>Đang làm</x:v>
      </x:c>
      <x:c r="F5" s="45" t="n">
        <x:f>COUNTIF($J$10:$J$85,"DOING")</x:f>
        <x:v>0</x:v>
      </x:c>
      <x:c r="G5" s="42" t="str">
        <x:v>Chờ review</x:v>
      </x:c>
      <x:c r="H5" s="45" t="n">
        <x:f>COUNTIF($J$10:$J$85,"REVIEW")</x:f>
        <x:v>0</x:v>
      </x:c>
      <x:c r="I5" s="42" t="str">
        <x:v>Bị chặn</x:v>
      </x:c>
      <x:c r="J5" s="45" t="n">
        <x:f>COUNTIF($J$10:$J$85,"BLOCKED")</x:f>
        <x:v>0</x:v>
      </x:c>
    </x:row>
    <x:row r="6">
      <x:c r="A6" s="42" t="str">
        <x:v>Tiến độ chung</x:v>
      </x:c>
      <x:c r="B6" s="46" t="n">
        <x:f>AVERAGE($K$10:$K$85)</x:f>
        <x:v>0</x:v>
      </x:c>
      <x:c r="C6" s="42" t="str">
        <x:v>Owner A</x:v>
      </x:c>
      <x:c r="D6" s="45" t="n">
        <x:f>COUNTIF($E$10:$E$85,"A")</x:f>
        <x:v>20</x:v>
      </x:c>
      <x:c r="E6" s="42" t="str">
        <x:v>Owner B</x:v>
      </x:c>
      <x:c r="F6" s="45" t="n">
        <x:f>COUNTIF($E$10:$E$85,"B")</x:f>
        <x:v>28</x:v>
      </x:c>
      <x:c r="G6" s="42" t="str">
        <x:v>Làm chung</x:v>
      </x:c>
      <x:c r="H6" s="45" t="n">
        <x:f>COUNTIF($E$10:$E$85,"A+B")</x:f>
        <x:v>28</x:v>
      </x:c>
    </x:row>
    <x:row r="9" ht="34" customHeight="1">
      <x:c r="A9" s="51" t="str">
        <x:v>WP ID</x:v>
      </x:c>
      <x:c r="B9" s="51" t="str">
        <x:v>Phase</x:v>
      </x:c>
      <x:c r="C9" s="51" t="str">
        <x:v>Gói công việc</x:v>
      </x:c>
      <x:c r="D9" s="51" t="str">
        <x:v>Phạm vi chi tiết</x:v>
      </x:c>
      <x:c r="E9" s="51" t="str">
        <x:v>Owner</x:v>
      </x:c>
      <x:c r="F9" s="51" t="str">
        <x:v>Reviewer</x:v>
      </x:c>
      <x:c r="G9" s="51" t="str">
        <x:v>Dependency</x:v>
      </x:c>
      <x:c r="H9" s="51" t="str">
        <x:v>Deliverable / Điều kiện DONE</x:v>
      </x:c>
      <x:c r="I9" s="51" t="str">
        <x:v>Priority</x:v>
      </x:c>
      <x:c r="J9" s="51" t="str">
        <x:v>Status</x:v>
      </x:c>
      <x:c r="K9" s="51" t="str">
        <x:v>% Complete</x:v>
      </x:c>
      <x:c r="L9" s="51" t="str">
        <x:v>Start Date</x:v>
      </x:c>
      <x:c r="M9" s="51" t="str">
        <x:v>Due Date</x:v>
      </x:c>
      <x:c r="N9" s="51" t="str">
        <x:v>Ghi chú</x:v>
      </x:c>
    </x:row>
    <x:row r="10" ht="46" customHeight="1">
      <x:c r="A10" s="18" t="str">
        <x:v>K0-01</x:v>
      </x:c>
      <x:c r="B10" s="18" t="str">
        <x:v>Phase 0</x:v>
      </x:c>
      <x:c r="C10" s="37" t="str">
        <x:v>Khởi tạo repo và cấu trúc project</x:v>
      </x:c>
      <x:c r="D10" s="37" t="str">
        <x:v>P0-01 đến P0-09</x:v>
      </x:c>
      <x:c r="E10" s="38" t="str">
        <x:v>A</x:v>
      </x:c>
      <x:c r="F10" s="38" t="str">
        <x:v>B</x:v>
      </x:c>
      <x:c r="G10" s="37" t="str">
        <x:v>-</x:v>
      </x:c>
      <x:c r="H10" s="37" t="str">
        <x:v>Repo, folders, config mẫu và tài liệu nền</x:v>
      </x:c>
      <x:c r="I10" s="38" t="str">
        <x:v>P0</x:v>
      </x:c>
      <x:c r="J10" s="38" t="str">
        <x:v>TODO</x:v>
      </x:c>
      <x:c r="K10" s="39" t="n">
        <x:f>IF(J10="DONE",1,IF(J10="REVIEW",0.8,IF(J10="DOING",0.5,0)))</x:f>
        <x:v>0</x:v>
      </x:c>
      <x:c r="L10" s="40"/>
      <x:c r="M10" s="40"/>
      <x:c r="N10" s="37" t="str"/>
    </x:row>
    <x:row r="11" ht="46" customHeight="1">
      <x:c r="A11" s="18" t="str">
        <x:v>K0-02</x:v>
      </x:c>
      <x:c r="B11" s="18" t="str">
        <x:v>Phase 0</x:v>
      </x:c>
      <x:c r="C11" s="37" t="str">
        <x:v>Thiết lập Git workflow trên hai máy</x:v>
      </x:c>
      <x:c r="D11" s="37" t="str">
        <x:v>P0-10 đến P0-12</x:v>
      </x:c>
      <x:c r="E11" s="38" t="str">
        <x:v>B</x:v>
      </x:c>
      <x:c r="F11" s="38" t="str">
        <x:v>A</x:v>
      </x:c>
      <x:c r="G11" s="37" t="str">
        <x:v>K0-01</x:v>
      </x:c>
      <x:c r="H11" s="37" t="str">
        <x:v>Cả hai clone, branch, push và merge được</x:v>
      </x:c>
      <x:c r="I11" s="38" t="str">
        <x:v>P0</x:v>
      </x:c>
      <x:c r="J11" s="38" t="str">
        <x:v>TODO</x:v>
      </x:c>
      <x:c r="K11" s="39" t="n">
        <x:f>IF(J11="DONE",1,IF(J11="REVIEW",0.8,IF(J11="DOING",0.5,0)))</x:f>
        <x:v>0</x:v>
      </x:c>
      <x:c r="L11" s="40"/>
      <x:c r="M11" s="40"/>
      <x:c r="N11" s="37" t="str"/>
    </x:row>
    <x:row r="12" ht="46" customHeight="1">
      <x:c r="A12" s="18" t="str">
        <x:v>K0-03</x:v>
      </x:c>
      <x:c r="B12" s="18" t="str">
        <x:v>Phase 0</x:v>
      </x:c>
      <x:c r="C12" s="37" t="str">
        <x:v>Checkpoint foundation</x:v>
      </x:c>
      <x:c r="D12" s="37" t="str">
        <x:v>P0-13</x:v>
      </x:c>
      <x:c r="E12" s="38" t="str">
        <x:v>B</x:v>
      </x:c>
      <x:c r="F12" s="38" t="str">
        <x:v>A</x:v>
      </x:c>
      <x:c r="G12" s="37" t="str">
        <x:v>K0-02</x:v>
      </x:c>
      <x:c r="H12" s="37" t="str">
        <x:v>PROGRESS.md ghi trạng thái nền tảng</x:v>
      </x:c>
      <x:c r="I12" s="38" t="str">
        <x:v>P1</x:v>
      </x:c>
      <x:c r="J12" s="38" t="str">
        <x:v>TODO</x:v>
      </x:c>
      <x:c r="K12" s="39" t="n">
        <x:f>IF(J12="DONE",1,IF(J12="REVIEW",0.8,IF(J12="DOING",0.5,0)))</x:f>
        <x:v>0</x:v>
      </x:c>
      <x:c r="L12" s="40"/>
      <x:c r="M12" s="40"/>
      <x:c r="N12" s="37" t="str"/>
    </x:row>
    <x:row r="13" ht="46" customHeight="1">
      <x:c r="A13" s="18" t="str">
        <x:v>K1-01</x:v>
      </x:c>
      <x:c r="B13" s="18" t="str">
        <x:v>Phase 1</x:v>
      </x:c>
      <x:c r="C13" s="37" t="str">
        <x:v>Thu thập và kiểm kê đủ 12 station</x:v>
      </x:c>
      <x:c r="D13" s="37" t="str">
        <x:v>P1-01 đến P1-06</x:v>
      </x:c>
      <x:c r="E13" s="38" t="str">
        <x:v>B</x:v>
      </x:c>
      <x:c r="F13" s="38" t="str">
        <x:v>A</x:v>
      </x:c>
      <x:c r="G13" s="37" t="str">
        <x:v>K0-02</x:v>
      </x:c>
      <x:c r="H13" s="37" t="str">
        <x:v>12 CSV hợp lệ và raw data ngoài Git</x:v>
      </x:c>
      <x:c r="I13" s="38" t="str">
        <x:v>P0</x:v>
      </x:c>
      <x:c r="J13" s="38" t="str">
        <x:v>TODO</x:v>
      </x:c>
      <x:c r="K13" s="39" t="n">
        <x:f>IF(J13="DONE",1,IF(J13="REVIEW",0.8,IF(J13="DOING",0.5,0)))</x:f>
        <x:v>0</x:v>
      </x:c>
      <x:c r="L13" s="40"/>
      <x:c r="M13" s="40"/>
      <x:c r="N13" s="37" t="str"/>
    </x:row>
    <x:row r="14" ht="46" customHeight="1">
      <x:c r="A14" s="18" t="str">
        <x:v>K1-02</x:v>
      </x:c>
      <x:c r="B14" s="18" t="str">
        <x:v>Phase 1</x:v>
      </x:c>
      <x:c r="C14" s="37" t="str">
        <x:v>Xây profiling script dùng lại được</x:v>
      </x:c>
      <x:c r="D14" s="37" t="str">
        <x:v>P1-07 đến P1-21</x:v>
      </x:c>
      <x:c r="E14" s="38" t="str">
        <x:v>A</x:v>
      </x:c>
      <x:c r="F14" s="38" t="str">
        <x:v>B</x:v>
      </x:c>
      <x:c r="G14" s="37" t="str">
        <x:v>K1-01</x:v>
      </x:c>
      <x:c r="H14" s="37" t="str">
        <x:v>Script profile folder và B tự chạy lại được</x:v>
      </x:c>
      <x:c r="I14" s="38" t="str">
        <x:v>P0</x:v>
      </x:c>
      <x:c r="J14" s="38" t="str">
        <x:v>TODO</x:v>
      </x:c>
      <x:c r="K14" s="39" t="n">
        <x:f>IF(J14="DONE",1,IF(J14="REVIEW",0.8,IF(J14="DOING",0.5,0)))</x:f>
        <x:v>0</x:v>
      </x:c>
      <x:c r="L14" s="40"/>
      <x:c r="M14" s="40"/>
      <x:c r="N14" s="37" t="str"/>
    </x:row>
    <x:row r="15" ht="46" customHeight="1">
      <x:c r="A15" s="18" t="str">
        <x:v>K1-03</x:v>
      </x:c>
      <x:c r="B15" s="18" t="str">
        <x:v>Phase 1</x:v>
      </x:c>
      <x:c r="C15" s="37" t="str">
        <x:v>Profile và so sánh 12 station</x:v>
      </x:c>
      <x:c r="D15" s="37" t="str">
        <x:v>P1-22 đến P1-33</x:v>
      </x:c>
      <x:c r="E15" s="38" t="str">
        <x:v>B</x:v>
      </x:c>
      <x:c r="F15" s="38" t="str">
        <x:v>A</x:v>
      </x:c>
      <x:c r="G15" s="37" t="str">
        <x:v>K1-02</x:v>
      </x:c>
      <x:c r="H15" s="37" t="str">
        <x:v>Schema, timeline, missing, extreme, negative được hiểu</x:v>
      </x:c>
      <x:c r="I15" s="38" t="str">
        <x:v>P0</x:v>
      </x:c>
      <x:c r="J15" s="38" t="str">
        <x:v>TODO</x:v>
      </x:c>
      <x:c r="K15" s="39" t="n">
        <x:f>IF(J15="DONE",1,IF(J15="REVIEW",0.8,IF(J15="DOING",0.5,0)))</x:f>
        <x:v>0</x:v>
      </x:c>
      <x:c r="L15" s="40"/>
      <x:c r="M15" s="40"/>
      <x:c r="N15" s="37" t="str"/>
    </x:row>
    <x:row r="16" ht="46" customHeight="1">
      <x:c r="A16" s="18" t="str">
        <x:v>K1-04</x:v>
      </x:c>
      <x:c r="B16" s="18" t="str">
        <x:v>Phase 1</x:v>
      </x:c>
      <x:c r="C16" s="37" t="str">
        <x:v>Xuất profiling artifacts</x:v>
      </x:c>
      <x:c r="D16" s="37" t="str">
        <x:v>P1-34 đến P1-38</x:v>
      </x:c>
      <x:c r="E16" s="38" t="str">
        <x:v>A</x:v>
      </x:c>
      <x:c r="F16" s="38" t="str">
        <x:v>B</x:v>
      </x:c>
      <x:c r="G16" s="37" t="str">
        <x:v>K1-03</x:v>
      </x:c>
      <x:c r="H16" s="37" t="str">
        <x:v>3 CSV summary và profiling_report.md</x:v>
      </x:c>
      <x:c r="I16" s="38" t="str">
        <x:v>P1</x:v>
      </x:c>
      <x:c r="J16" s="38" t="str">
        <x:v>TODO</x:v>
      </x:c>
      <x:c r="K16" s="39" t="n">
        <x:f>IF(J16="DONE",1,IF(J16="REVIEW",0.8,IF(J16="DOING",0.5,0)))</x:f>
        <x:v>0</x:v>
      </x:c>
      <x:c r="L16" s="40"/>
      <x:c r="M16" s="40"/>
      <x:c r="N16" s="37" t="str"/>
    </x:row>
    <x:row r="17" ht="46" customHeight="1">
      <x:c r="A17" s="18" t="str">
        <x:v>K1-05</x:v>
      </x:c>
      <x:c r="B17" s="18" t="str">
        <x:v>Phase 1</x:v>
      </x:c>
      <x:c r="C17" s="37" t="str">
        <x:v>Ra quyết định dữ liệu sau profiling</x:v>
      </x:c>
      <x:c r="D17" s="37" t="str">
        <x:v>P1-39 đến P1-47</x:v>
      </x:c>
      <x:c r="E17" s="38" t="str">
        <x:v>A+B</x:v>
      </x:c>
      <x:c r="F17" s="38" t="str">
        <x:v>A+B</x:v>
      </x:c>
      <x:c r="G17" s="37" t="str">
        <x:v>K1-03</x:v>
      </x:c>
      <x:c r="H17" s="37" t="str">
        <x:v>Grain, missing, extreme và rule station được chốt</x:v>
      </x:c>
      <x:c r="I17" s="38" t="str">
        <x:v>P0</x:v>
      </x:c>
      <x:c r="J17" s="38" t="str">
        <x:v>TODO</x:v>
      </x:c>
      <x:c r="K17" s="39" t="n">
        <x:f>IF(J17="DONE",1,IF(J17="REVIEW",0.8,IF(J17="DOING",0.5,0)))</x:f>
        <x:v>0</x:v>
      </x:c>
      <x:c r="L17" s="40"/>
      <x:c r="M17" s="40"/>
      <x:c r="N17" s="37" t="str"/>
    </x:row>
    <x:row r="18" ht="46" customHeight="1">
      <x:c r="A18" s="18" t="str">
        <x:v>K1-06</x:v>
      </x:c>
      <x:c r="B18" s="18" t="str">
        <x:v>Phase 1</x:v>
      </x:c>
      <x:c r="C18" s="37" t="str">
        <x:v>Cập nhật tài liệu và merge Phase 1</x:v>
      </x:c>
      <x:c r="D18" s="37" t="str">
        <x:v>P1-48 đến P1-52</x:v>
      </x:c>
      <x:c r="E18" s="38" t="str">
        <x:v>B</x:v>
      </x:c>
      <x:c r="F18" s="38" t="str">
        <x:v>A</x:v>
      </x:c>
      <x:c r="G18" s="37" t="str">
        <x:v>K1-04, K1-05</x:v>
      </x:c>
      <x:c r="H18" s="37" t="str">
        <x:v>DATA_GUIDE, PROGRESS và main được cập nhật</x:v>
      </x:c>
      <x:c r="I18" s="38" t="str">
        <x:v>P1</x:v>
      </x:c>
      <x:c r="J18" s="38" t="str">
        <x:v>TODO</x:v>
      </x:c>
      <x:c r="K18" s="39" t="n">
        <x:f>IF(J18="DONE",1,IF(J18="REVIEW",0.8,IF(J18="DOING",0.5,0)))</x:f>
        <x:v>0</x:v>
      </x:c>
      <x:c r="L18" s="40"/>
      <x:c r="M18" s="40"/>
      <x:c r="N18" s="37" t="str"/>
    </x:row>
    <x:row r="19" ht="46" customHeight="1">
      <x:c r="A19" s="18" t="str">
        <x:v>K2-01</x:v>
      </x:c>
      <x:c r="B19" s="18" t="str">
        <x:v>Phase 2</x:v>
      </x:c>
      <x:c r="C19" s="37" t="str">
        <x:v>Chuẩn bị Docker config, network và .env</x:v>
      </x:c>
      <x:c r="D19" s="37" t="str">
        <x:v>P2-01 đến P2-05</x:v>
      </x:c>
      <x:c r="E19" s="38" t="str">
        <x:v>A</x:v>
      </x:c>
      <x:c r="F19" s="38" t="str">
        <x:v>B</x:v>
      </x:c>
      <x:c r="G19" s="37" t="str">
        <x:v>K1-06</x:v>
      </x:c>
      <x:c r="H19" s="37" t="str">
        <x:v>Docker Compose có config dùng được trên hai máy</x:v>
      </x:c>
      <x:c r="I19" s="38" t="str">
        <x:v>P0</x:v>
      </x:c>
      <x:c r="J19" s="38" t="str">
        <x:v>TODO</x:v>
      </x:c>
      <x:c r="K19" s="39" t="n">
        <x:f>IF(J19="DONE",1,IF(J19="REVIEW",0.8,IF(J19="DOING",0.5,0)))</x:f>
        <x:v>0</x:v>
      </x:c>
      <x:c r="L19" s="40"/>
      <x:c r="M19" s="40"/>
      <x:c r="N19" s="37" t="str"/>
    </x:row>
    <x:row r="20" ht="46" customHeight="1">
      <x:c r="A20" s="18" t="str">
        <x:v>K2-02</x:v>
      </x:c>
      <x:c r="B20" s="18" t="str">
        <x:v>Phase 2</x:v>
      </x:c>
      <x:c r="C20" s="37" t="str">
        <x:v>Dựng PostgreSQL và logical schemas</x:v>
      </x:c>
      <x:c r="D20" s="37" t="str">
        <x:v>P2-06 đến P2-10</x:v>
      </x:c>
      <x:c r="E20" s="38" t="str">
        <x:v>A</x:v>
      </x:c>
      <x:c r="F20" s="38" t="str">
        <x:v>B</x:v>
      </x:c>
      <x:c r="G20" s="37" t="str">
        <x:v>K2-01</x:v>
      </x:c>
      <x:c r="H20" s="37" t="str">
        <x:v>PostgreSQL healthy; database/schema tạo được</x:v>
      </x:c>
      <x:c r="I20" s="38" t="str">
        <x:v>P0</x:v>
      </x:c>
      <x:c r="J20" s="38" t="str">
        <x:v>TODO</x:v>
      </x:c>
      <x:c r="K20" s="39" t="n">
        <x:f>IF(J20="DONE",1,IF(J20="REVIEW",0.8,IF(J20="DOING",0.5,0)))</x:f>
        <x:v>0</x:v>
      </x:c>
      <x:c r="L20" s="40"/>
      <x:c r="M20" s="40"/>
      <x:c r="N20" s="37" t="str"/>
    </x:row>
    <x:row r="21" ht="46" customHeight="1">
      <x:c r="A21" s="18" t="str">
        <x:v>K2-03</x:v>
      </x:c>
      <x:c r="B21" s="18" t="str">
        <x:v>Phase 2</x:v>
      </x:c>
      <x:c r="C21" s="37" t="str">
        <x:v>Dựng MinIO và Data Lake prefixes</x:v>
      </x:c>
      <x:c r="D21" s="37" t="str">
        <x:v>P2-11 đến P2-16</x:v>
      </x:c>
      <x:c r="E21" s="38" t="str">
        <x:v>A</x:v>
      </x:c>
      <x:c r="F21" s="38" t="str">
        <x:v>B</x:v>
      </x:c>
      <x:c r="G21" s="37" t="str">
        <x:v>K2-01</x:v>
      </x:c>
      <x:c r="H21" s="37" t="str">
        <x:v>MinIO healthy; upload/download object thành công</x:v>
      </x:c>
      <x:c r="I21" s="38" t="str">
        <x:v>P0</x:v>
      </x:c>
      <x:c r="J21" s="38" t="str">
        <x:v>TODO</x:v>
      </x:c>
      <x:c r="K21" s="39" t="n">
        <x:f>IF(J21="DONE",1,IF(J21="REVIEW",0.8,IF(J21="DOING",0.5,0)))</x:f>
        <x:v>0</x:v>
      </x:c>
      <x:c r="L21" s="40"/>
      <x:c r="M21" s="40"/>
      <x:c r="N21" s="37" t="str"/>
    </x:row>
    <x:row r="22" ht="46" customHeight="1">
      <x:c r="A22" s="18" t="str">
        <x:v>K2-04</x:v>
      </x:c>
      <x:c r="B22" s="18" t="str">
        <x:v>Phase 2</x:v>
      </x:c>
      <x:c r="C22" s="37" t="str">
        <x:v>Dựng Airflow và sample DAG</x:v>
      </x:c>
      <x:c r="D22" s="37" t="str">
        <x:v>P2-17 đến P2-24</x:v>
      </x:c>
      <x:c r="E22" s="38" t="str">
        <x:v>A</x:v>
      </x:c>
      <x:c r="F22" s="38" t="str">
        <x:v>B</x:v>
      </x:c>
      <x:c r="G22" s="37" t="str">
        <x:v>K2-02, K2-03</x:v>
      </x:c>
      <x:c r="H22" s="37" t="str">
        <x:v>Webserver, scheduler và DAG hoạt động</x:v>
      </x:c>
      <x:c r="I22" s="38" t="str">
        <x:v>P0</x:v>
      </x:c>
      <x:c r="J22" s="38" t="str">
        <x:v>TODO</x:v>
      </x:c>
      <x:c r="K22" s="39" t="n">
        <x:f>IF(J22="DONE",1,IF(J22="REVIEW",0.8,IF(J22="DOING",0.5,0)))</x:f>
        <x:v>0</x:v>
      </x:c>
      <x:c r="L22" s="40"/>
      <x:c r="M22" s="40"/>
      <x:c r="N22" s="37" t="str"/>
    </x:row>
    <x:row r="23" ht="46" customHeight="1">
      <x:c r="A23" s="18" t="str">
        <x:v>K2-05</x:v>
      </x:c>
      <x:c r="B23" s="18" t="str">
        <x:v>Phase 2</x:v>
      </x:c>
      <x:c r="C23" s="37" t="str">
        <x:v>Test tích hợp và persistence</x:v>
      </x:c>
      <x:c r="D23" s="37" t="str">
        <x:v>P2-25 đến P2-26</x:v>
      </x:c>
      <x:c r="E23" s="38" t="str">
        <x:v>B</x:v>
      </x:c>
      <x:c r="F23" s="38" t="str">
        <x:v>A</x:v>
      </x:c>
      <x:c r="G23" s="37" t="str">
        <x:v>K2-04</x:v>
      </x:c>
      <x:c r="H23" s="37" t="str">
        <x:v>Toàn bộ services healthy sau restart</x:v>
      </x:c>
      <x:c r="I23" s="38" t="str">
        <x:v>P1</x:v>
      </x:c>
      <x:c r="J23" s="38" t="str">
        <x:v>TODO</x:v>
      </x:c>
      <x:c r="K23" s="39" t="n">
        <x:f>IF(J23="DONE",1,IF(J23="REVIEW",0.8,IF(J23="DOING",0.5,0)))</x:f>
        <x:v>0</x:v>
      </x:c>
      <x:c r="L23" s="40"/>
      <x:c r="M23" s="40"/>
      <x:c r="N23" s="37" t="str"/>
    </x:row>
    <x:row r="24" ht="46" customHeight="1">
      <x:c r="A24" s="18" t="str">
        <x:v>K2-06</x:v>
      </x:c>
      <x:c r="B24" s="18" t="str">
        <x:v>Phase 2</x:v>
      </x:c>
      <x:c r="C24" s="37" t="str">
        <x:v>Tái tạo môi trường trên hai máy</x:v>
      </x:c>
      <x:c r="D24" s="37" t="str">
        <x:v>P2-27 đến P2-30</x:v>
      </x:c>
      <x:c r="E24" s="38" t="str">
        <x:v>A+B</x:v>
      </x:c>
      <x:c r="F24" s="38" t="str">
        <x:v>A+B</x:v>
      </x:c>
      <x:c r="G24" s="37" t="str">
        <x:v>K2-05</x:v>
      </x:c>
      <x:c r="H24" s="37" t="str">
        <x:v>Hai thành viên dựng được từ repo và README</x:v>
      </x:c>
      <x:c r="I24" s="38" t="str">
        <x:v>P1</x:v>
      </x:c>
      <x:c r="J24" s="38" t="str">
        <x:v>TODO</x:v>
      </x:c>
      <x:c r="K24" s="39" t="n">
        <x:f>IF(J24="DONE",1,IF(J24="REVIEW",0.8,IF(J24="DOING",0.5,0)))</x:f>
        <x:v>0</x:v>
      </x:c>
      <x:c r="L24" s="40"/>
      <x:c r="M24" s="40"/>
      <x:c r="N24" s="37" t="str"/>
    </x:row>
    <x:row r="25" ht="46" customHeight="1">
      <x:c r="A25" s="18" t="str">
        <x:v>K3-01</x:v>
      </x:c>
      <x:c r="B25" s="18" t="str">
        <x:v>Phase 3</x:v>
      </x:c>
      <x:c r="C25" s="37" t="str">
        <x:v>Thiết kế Raw path, validation và lineage</x:v>
      </x:c>
      <x:c r="D25" s="37" t="str">
        <x:v>P3-01 đến P3-09</x:v>
      </x:c>
      <x:c r="E25" s="38" t="str">
        <x:v>A+B</x:v>
      </x:c>
      <x:c r="F25" s="38" t="str">
        <x:v>A+B</x:v>
      </x:c>
      <x:c r="G25" s="37" t="str">
        <x:v>K2-06</x:v>
      </x:c>
      <x:c r="H25" s="37" t="str">
        <x:v>Raw naming, checksum, metadata và rerun policy rõ</x:v>
      </x:c>
      <x:c r="I25" s="38" t="str">
        <x:v>P0</x:v>
      </x:c>
      <x:c r="J25" s="38" t="str">
        <x:v>TODO</x:v>
      </x:c>
      <x:c r="K25" s="39" t="n">
        <x:f>IF(J25="DONE",1,IF(J25="REVIEW",0.8,IF(J25="DOING",0.5,0)))</x:f>
        <x:v>0</x:v>
      </x:c>
      <x:c r="L25" s="40"/>
      <x:c r="M25" s="40"/>
      <x:c r="N25" s="37" t="str"/>
    </x:row>
    <x:row r="26" ht="46" customHeight="1">
      <x:c r="A26" s="18" t="str">
        <x:v>K3-02</x:v>
      </x:c>
      <x:c r="B26" s="18" t="str">
        <x:v>Phase 3</x:v>
      </x:c>
      <x:c r="C26" s="37" t="str">
        <x:v>Xây module và Airflow DAG ingestion</x:v>
      </x:c>
      <x:c r="D26" s="37" t="str">
        <x:v>P3-10 đến P3-12</x:v>
      </x:c>
      <x:c r="E26" s="38" t="str">
        <x:v>A</x:v>
      </x:c>
      <x:c r="F26" s="38" t="str">
        <x:v>B</x:v>
      </x:c>
      <x:c r="G26" s="37" t="str">
        <x:v>K3-01</x:v>
      </x:c>
      <x:c r="H26" s="37" t="str">
        <x:v>DAG gọi module Python, có retry/log</x:v>
      </x:c>
      <x:c r="I26" s="38" t="str">
        <x:v>P0</x:v>
      </x:c>
      <x:c r="J26" s="38" t="str">
        <x:v>TODO</x:v>
      </x:c>
      <x:c r="K26" s="39" t="n">
        <x:f>IF(J26="DONE",1,IF(J26="REVIEW",0.8,IF(J26="DOING",0.5,0)))</x:f>
        <x:v>0</x:v>
      </x:c>
      <x:c r="L26" s="40"/>
      <x:c r="M26" s="40"/>
      <x:c r="N26" s="37" t="str"/>
    </x:row>
    <x:row r="27" ht="46" customHeight="1">
      <x:c r="A27" s="18" t="str">
        <x:v>K3-03</x:v>
      </x:c>
      <x:c r="B27" s="18" t="str">
        <x:v>Phase 3</x:v>
      </x:c>
      <x:c r="C27" s="37" t="str">
        <x:v>Ingest thử 1 station và kiểm tra rerun/lỗi</x:v>
      </x:c>
      <x:c r="D27" s="37" t="str">
        <x:v>P3-13 đến P3-18</x:v>
      </x:c>
      <x:c r="E27" s="38" t="str">
        <x:v>A</x:v>
      </x:c>
      <x:c r="F27" s="38" t="str">
        <x:v>B</x:v>
      </x:c>
      <x:c r="G27" s="37" t="str">
        <x:v>K3-02</x:v>
      </x:c>
      <x:c r="H27" s="37" t="str">
        <x:v>Raw giữ nguyên; metadata và failure rõ</x:v>
      </x:c>
      <x:c r="I27" s="38" t="str">
        <x:v>P0</x:v>
      </x:c>
      <x:c r="J27" s="38" t="str">
        <x:v>TODO</x:v>
      </x:c>
      <x:c r="K27" s="39" t="n">
        <x:f>IF(J27="DONE",1,IF(J27="REVIEW",0.8,IF(J27="DOING",0.5,0)))</x:f>
        <x:v>0</x:v>
      </x:c>
      <x:c r="L27" s="40"/>
      <x:c r="M27" s="40"/>
      <x:c r="N27" s="37" t="str"/>
    </x:row>
    <x:row r="28" ht="46" customHeight="1">
      <x:c r="A28" s="18" t="str">
        <x:v>K3-04</x:v>
      </x:c>
      <x:c r="B28" s="18" t="str">
        <x:v>Phase 3</x:v>
      </x:c>
      <x:c r="C28" s="37" t="str">
        <x:v>Mở rộng ingestion đủ 12 station</x:v>
      </x:c>
      <x:c r="D28" s="37" t="str">
        <x:v>P3-19 đến P3-22</x:v>
      </x:c>
      <x:c r="E28" s="38" t="str">
        <x:v>A</x:v>
      </x:c>
      <x:c r="F28" s="38" t="str">
        <x:v>B</x:v>
      </x:c>
      <x:c r="G28" s="37" t="str">
        <x:v>K3-03</x:v>
      </x:c>
      <x:c r="H28" s="37" t="str">
        <x:v>Raw objects đủ 12 station và đối chiếu đúng</x:v>
      </x:c>
      <x:c r="I28" s="38" t="str">
        <x:v>P0</x:v>
      </x:c>
      <x:c r="J28" s="38" t="str">
        <x:v>TODO</x:v>
      </x:c>
      <x:c r="K28" s="39" t="n">
        <x:f>IF(J28="DONE",1,IF(J28="REVIEW",0.8,IF(J28="DOING",0.5,0)))</x:f>
        <x:v>0</x:v>
      </x:c>
      <x:c r="L28" s="40"/>
      <x:c r="M28" s="40"/>
      <x:c r="N28" s="37" t="str"/>
    </x:row>
    <x:row r="29" ht="46" customHeight="1">
      <x:c r="A29" s="18" t="str">
        <x:v>K3-05</x:v>
      </x:c>
      <x:c r="B29" s="18" t="str">
        <x:v>Phase 3</x:v>
      </x:c>
      <x:c r="C29" s="37" t="str">
        <x:v>Tái tạo và checkpoint ingestion</x:v>
      </x:c>
      <x:c r="D29" s="37" t="str">
        <x:v>P3-23 đến P3-24</x:v>
      </x:c>
      <x:c r="E29" s="38" t="str">
        <x:v>B</x:v>
      </x:c>
      <x:c r="F29" s="38" t="str">
        <x:v>A</x:v>
      </x:c>
      <x:c r="G29" s="37" t="str">
        <x:v>K3-04</x:v>
      </x:c>
      <x:c r="H29" s="37" t="str">
        <x:v>B tự chạy được; README/evidence cập nhật</x:v>
      </x:c>
      <x:c r="I29" s="38" t="str">
        <x:v>P1</x:v>
      </x:c>
      <x:c r="J29" s="38" t="str">
        <x:v>TODO</x:v>
      </x:c>
      <x:c r="K29" s="39" t="n">
        <x:f>IF(J29="DONE",1,IF(J29="REVIEW",0.8,IF(J29="DOING",0.5,0)))</x:f>
        <x:v>0</x:v>
      </x:c>
      <x:c r="L29" s="40"/>
      <x:c r="M29" s="40"/>
      <x:c r="N29" s="37" t="str"/>
    </x:row>
    <x:row r="30" ht="46" customHeight="1">
      <x:c r="A30" s="18" t="str">
        <x:v>K4-01</x:v>
      </x:c>
      <x:c r="B30" s="18" t="str">
        <x:v>Phase 4</x:v>
      </x:c>
      <x:c r="C30" s="37" t="str">
        <x:v>Chốt canonical schema và mapping</x:v>
      </x:c>
      <x:c r="D30" s="37" t="str">
        <x:v>P4-01 đến P4-02</x:v>
      </x:c>
      <x:c r="E30" s="38" t="str">
        <x:v>A+B</x:v>
      </x:c>
      <x:c r="F30" s="38" t="str">
        <x:v>A+B</x:v>
      </x:c>
      <x:c r="G30" s="37" t="str">
        <x:v>K3-05</x:v>
      </x:c>
      <x:c r="H30" s="37" t="str">
        <x:v>Canonical columns, datatype và nullable rõ</x:v>
      </x:c>
      <x:c r="I30" s="38" t="str">
        <x:v>P0</x:v>
      </x:c>
      <x:c r="J30" s="38" t="str">
        <x:v>TODO</x:v>
      </x:c>
      <x:c r="K30" s="39" t="n">
        <x:f>IF(J30="DONE",1,IF(J30="REVIEW",0.8,IF(J30="DOING",0.5,0)))</x:f>
        <x:v>0</x:v>
      </x:c>
      <x:c r="L30" s="40"/>
      <x:c r="M30" s="40"/>
      <x:c r="N30" s="37" t="str"/>
    </x:row>
    <x:row r="31" ht="46" customHeight="1">
      <x:c r="A31" s="18" t="str">
        <x:v>K4-02</x:v>
      </x:c>
      <x:c r="B31" s="18" t="str">
        <x:v>Phase 4</x:v>
      </x:c>
      <x:c r="C31" s="37" t="str">
        <x:v>Xây processing module cơ bản</x:v>
      </x:c>
      <x:c r="D31" s="37" t="str">
        <x:v>P4-03 đến P4-09</x:v>
      </x:c>
      <x:c r="E31" s="38" t="str">
        <x:v>A</x:v>
      </x:c>
      <x:c r="F31" s="38" t="str">
        <x:v>B</x:v>
      </x:c>
      <x:c r="G31" s="37" t="str">
        <x:v>K4-01</x:v>
      </x:c>
      <x:c r="H31" s="37" t="str">
        <x:v>Đọc raw, parse time, cast type, station và unit đúng</x:v>
      </x:c>
      <x:c r="I31" s="38" t="str">
        <x:v>P0</x:v>
      </x:c>
      <x:c r="J31" s="38" t="str">
        <x:v>TODO</x:v>
      </x:c>
      <x:c r="K31" s="39" t="n">
        <x:f>IF(J31="DONE",1,IF(J31="REVIEW",0.8,IF(J31="DOING",0.5,0)))</x:f>
        <x:v>0</x:v>
      </x:c>
      <x:c r="L31" s="40"/>
      <x:c r="M31" s="40"/>
      <x:c r="N31" s="37" t="str"/>
    </x:row>
    <x:row r="32" ht="46" customHeight="1">
      <x:c r="A32" s="18" t="str">
        <x:v>K4-03</x:v>
      </x:c>
      <x:c r="B32" s="18" t="str">
        <x:v>Phase 4</x:v>
      </x:c>
      <x:c r="C32" s="37" t="str">
        <x:v>Xây quality flags, quarantine và lineage</x:v>
      </x:c>
      <x:c r="D32" s="37" t="str">
        <x:v>P4-10 đến P4-14</x:v>
      </x:c>
      <x:c r="E32" s="38" t="str">
        <x:v>A+B</x:v>
      </x:c>
      <x:c r="F32" s="38" t="str">
        <x:v>A+B</x:v>
      </x:c>
      <x:c r="G32" s="37" t="str">
        <x:v>K4-02</x:v>
      </x:c>
      <x:c r="H32" s="37" t="str">
        <x:v>Invalid/duplicate/missing được phát hiện, không xóa âm thầm</x:v>
      </x:c>
      <x:c r="I32" s="38" t="str">
        <x:v>P0</x:v>
      </x:c>
      <x:c r="J32" s="38" t="str">
        <x:v>TODO</x:v>
      </x:c>
      <x:c r="K32" s="39" t="n">
        <x:f>IF(J32="DONE",1,IF(J32="REVIEW",0.8,IF(J32="DOING",0.5,0)))</x:f>
        <x:v>0</x:v>
      </x:c>
      <x:c r="L32" s="40"/>
      <x:c r="M32" s="40"/>
      <x:c r="N32" s="37" t="str"/>
    </x:row>
    <x:row r="33" ht="46" customHeight="1">
      <x:c r="A33" s="18" t="str">
        <x:v>K4-04</x:v>
      </x:c>
      <x:c r="B33" s="18" t="str">
        <x:v>Phase 4</x:v>
      </x:c>
      <x:c r="C33" s="37" t="str">
        <x:v>Xuất Parquet và thử 1 station</x:v>
      </x:c>
      <x:c r="D33" s="37" t="str">
        <x:v>P4-15 đến P4-20</x:v>
      </x:c>
      <x:c r="E33" s="38" t="str">
        <x:v>A</x:v>
      </x:c>
      <x:c r="F33" s="38" t="str">
        <x:v>B</x:v>
      </x:c>
      <x:c r="G33" s="37" t="str">
        <x:v>K4-03</x:v>
      </x:c>
      <x:c r="H33" s="37" t="str">
        <x:v>Processed reproducible và raw không đổi</x:v>
      </x:c>
      <x:c r="I33" s="38" t="str">
        <x:v>P0</x:v>
      </x:c>
      <x:c r="J33" s="38" t="str">
        <x:v>TODO</x:v>
      </x:c>
      <x:c r="K33" s="39" t="n">
        <x:f>IF(J33="DONE",1,IF(J33="REVIEW",0.8,IF(J33="DOING",0.5,0)))</x:f>
        <x:v>0</x:v>
      </x:c>
      <x:c r="L33" s="40"/>
      <x:c r="M33" s="40"/>
      <x:c r="N33" s="37" t="str"/>
    </x:row>
    <x:row r="34" ht="46" customHeight="1">
      <x:c r="A34" s="18" t="str">
        <x:v>K4-05</x:v>
      </x:c>
      <x:c r="B34" s="18" t="str">
        <x:v>Phase 4</x:v>
      </x:c>
      <x:c r="C34" s="37" t="str">
        <x:v>Test và tích hợp processing vào Airflow</x:v>
      </x:c>
      <x:c r="D34" s="37" t="str">
        <x:v>P4-21 đến P4-25</x:v>
      </x:c>
      <x:c r="E34" s="38" t="str">
        <x:v>A</x:v>
      </x:c>
      <x:c r="F34" s="38" t="str">
        <x:v>B</x:v>
      </x:c>
      <x:c r="G34" s="37" t="str">
        <x:v>K4-04</x:v>
      </x:c>
      <x:c r="H34" s="37" t="str">
        <x:v>Tests và dependency ingest→processing hoạt động</x:v>
      </x:c>
      <x:c r="I34" s="38" t="str">
        <x:v>P1</x:v>
      </x:c>
      <x:c r="J34" s="38" t="str">
        <x:v>TODO</x:v>
      </x:c>
      <x:c r="K34" s="39" t="n">
        <x:f>IF(J34="DONE",1,IF(J34="REVIEW",0.8,IF(J34="DOING",0.5,0)))</x:f>
        <x:v>0</x:v>
      </x:c>
      <x:c r="L34" s="40"/>
      <x:c r="M34" s="40"/>
      <x:c r="N34" s="37" t="str"/>
    </x:row>
    <x:row r="35" ht="46" customHeight="1">
      <x:c r="A35" s="18" t="str">
        <x:v>K4-06</x:v>
      </x:c>
      <x:c r="B35" s="18" t="str">
        <x:v>Phase 4</x:v>
      </x:c>
      <x:c r="C35" s="37" t="str">
        <x:v>Scale 12 station và checkpoint quality</x:v>
      </x:c>
      <x:c r="D35" s="37" t="str">
        <x:v>P4-26 đến P4-30</x:v>
      </x:c>
      <x:c r="E35" s="38" t="str">
        <x:v>B</x:v>
      </x:c>
      <x:c r="F35" s="38" t="str">
        <x:v>A</x:v>
      </x:c>
      <x:c r="G35" s="37" t="str">
        <x:v>K4-05</x:v>
      </x:c>
      <x:c r="H35" s="37" t="str">
        <x:v>Processed đủ 12; quality summary và docs cập nhật</x:v>
      </x:c>
      <x:c r="I35" s="38" t="str">
        <x:v>P0</x:v>
      </x:c>
      <x:c r="J35" s="38" t="str">
        <x:v>TODO</x:v>
      </x:c>
      <x:c r="K35" s="39" t="n">
        <x:f>IF(J35="DONE",1,IF(J35="REVIEW",0.8,IF(J35="DOING",0.5,0)))</x:f>
        <x:v>0</x:v>
      </x:c>
      <x:c r="L35" s="40"/>
      <x:c r="M35" s="40"/>
      <x:c r="N35" s="37" t="str"/>
    </x:row>
    <x:row r="36" ht="46" customHeight="1">
      <x:c r="A36" s="18" t="str">
        <x:v>K5-01</x:v>
      </x:c>
      <x:c r="B36" s="18" t="str">
        <x:v>Phase 5</x:v>
      </x:c>
      <x:c r="C36" s="37" t="str">
        <x:v>Xác minh station metadata</x:v>
      </x:c>
      <x:c r="D36" s="37" t="str">
        <x:v>P5-01 đến P5-06</x:v>
      </x:c>
      <x:c r="E36" s="38" t="str">
        <x:v>B</x:v>
      </x:c>
      <x:c r="F36" s="38" t="str">
        <x:v>A</x:v>
      </x:c>
      <x:c r="G36" s="37" t="str">
        <x:v>K4-06</x:v>
      </x:c>
      <x:c r="H36" s="37" t="str">
        <x:v>Tọa độ có nguồn và station reference artifact</x:v>
      </x:c>
      <x:c r="I36" s="38" t="str">
        <x:v>P1</x:v>
      </x:c>
      <x:c r="J36" s="38" t="str">
        <x:v>TODO</x:v>
      </x:c>
      <x:c r="K36" s="39" t="n">
        <x:f>IF(J36="DONE",1,IF(J36="REVIEW",0.8,IF(J36="DOING",0.5,0)))</x:f>
        <x:v>0</x:v>
      </x:c>
      <x:c r="L36" s="40"/>
      <x:c r="M36" s="40"/>
      <x:c r="N36" s="37" t="str"/>
    </x:row>
    <x:row r="37" ht="46" customHeight="1">
      <x:c r="A37" s="18" t="str">
        <x:v>K5-02</x:v>
      </x:c>
      <x:c r="B37" s="18" t="str">
        <x:v>Phase 5</x:v>
      </x:c>
      <x:c r="C37" s="37" t="str">
        <x:v>Thử Open-Meteo 1 station × 1 tháng</x:v>
      </x:c>
      <x:c r="D37" s="37" t="str">
        <x:v>P5-07 đến P5-14</x:v>
      </x:c>
      <x:c r="E37" s="38" t="str">
        <x:v>A</x:v>
      </x:c>
      <x:c r="F37" s="38" t="str">
        <x:v>B</x:v>
      </x:c>
      <x:c r="G37" s="37" t="str">
        <x:v>K5-01</x:v>
      </x:c>
      <x:c r="H37" s="37" t="str">
        <x:v>Request đúng timezone/unit và Raw API được lưu</x:v>
      </x:c>
      <x:c r="I37" s="38" t="str">
        <x:v>P1</x:v>
      </x:c>
      <x:c r="J37" s="38" t="str">
        <x:v>TODO</x:v>
      </x:c>
      <x:c r="K37" s="39" t="n">
        <x:f>IF(J37="DONE",1,IF(J37="REVIEW",0.8,IF(J37="DOING",0.5,0)))</x:f>
        <x:v>0</x:v>
      </x:c>
      <x:c r="L37" s="40"/>
      <x:c r="M37" s="40"/>
      <x:c r="N37" s="37" t="str"/>
    </x:row>
    <x:row r="38" ht="46" customHeight="1">
      <x:c r="A38" s="18" t="str">
        <x:v>K5-03</x:v>
      </x:c>
      <x:c r="B38" s="18" t="str">
        <x:v>Phase 5</x:v>
      </x:c>
      <x:c r="C38" s="37" t="str">
        <x:v>Join và so sánh weather sources</x:v>
      </x:c>
      <x:c r="D38" s="37" t="str">
        <x:v>P5-15 đến P5-22</x:v>
      </x:c>
      <x:c r="E38" s="38" t="str">
        <x:v>B</x:v>
      </x:c>
      <x:c r="F38" s="38" t="str">
        <x:v>A</x:v>
      </x:c>
      <x:c r="G38" s="37" t="str">
        <x:v>K5-02</x:v>
      </x:c>
      <x:c r="H38" s="37" t="str">
        <x:v>Alignment, 4 weather variables và humidity được đánh giá</x:v>
      </x:c>
      <x:c r="I38" s="38" t="str">
        <x:v>P1</x:v>
      </x:c>
      <x:c r="J38" s="38" t="str">
        <x:v>TODO</x:v>
      </x:c>
      <x:c r="K38" s="39" t="n">
        <x:f>IF(J38="DONE",1,IF(J38="REVIEW",0.8,IF(J38="DOING",0.5,0)))</x:f>
        <x:v>0</x:v>
      </x:c>
      <x:c r="L38" s="40"/>
      <x:c r="M38" s="40"/>
      <x:c r="N38" s="37" t="str"/>
    </x:row>
    <x:row r="39" ht="46" customHeight="1">
      <x:c r="A39" s="18" t="str">
        <x:v>K5-04</x:v>
      </x:c>
      <x:c r="B39" s="18" t="str">
        <x:v>Phase 5</x:v>
      </x:c>
      <x:c r="C39" s="37" t="str">
        <x:v>Decision Gate Open-Meteo</x:v>
      </x:c>
      <x:c r="D39" s="37" t="str">
        <x:v>P5-23 đến P5-24</x:v>
      </x:c>
      <x:c r="E39" s="38" t="str">
        <x:v>A+B</x:v>
      </x:c>
      <x:c r="F39" s="38" t="str">
        <x:v>A+B</x:v>
      </x:c>
      <x:c r="G39" s="37" t="str">
        <x:v>K5-03</x:v>
      </x:c>
      <x:c r="H39" s="37" t="str">
        <x:v>Chọn full, selected variables hoặc bỏ/đổi vai trò</x:v>
      </x:c>
      <x:c r="I39" s="38" t="str">
        <x:v>P0</x:v>
      </x:c>
      <x:c r="J39" s="38" t="str">
        <x:v>TODO</x:v>
      </x:c>
      <x:c r="K39" s="39" t="n">
        <x:f>IF(J39="DONE",1,IF(J39="REVIEW",0.8,IF(J39="DOING",0.5,0)))</x:f>
        <x:v>0</x:v>
      </x:c>
      <x:c r="L39" s="40"/>
      <x:c r="M39" s="40"/>
      <x:c r="N39" s="37" t="str"/>
    </x:row>
    <x:row r="40" ht="46" customHeight="1">
      <x:c r="A40" s="18" t="str">
        <x:v>K5-05</x:v>
      </x:c>
      <x:c r="B40" s="18" t="str">
        <x:v>Phase 5</x:v>
      </x:c>
      <x:c r="C40" s="37" t="str">
        <x:v>Triển khai scope Open-Meteo đã duyệt</x:v>
      </x:c>
      <x:c r="D40" s="37" t="str">
        <x:v>P5-25 đến P5-29</x:v>
      </x:c>
      <x:c r="E40" s="38" t="str">
        <x:v>A</x:v>
      </x:c>
      <x:c r="F40" s="38" t="str">
        <x:v>B</x:v>
      </x:c>
      <x:c r="G40" s="37" t="str">
        <x:v>K5-04</x:v>
      </x:c>
      <x:c r="H40" s="37" t="str">
        <x:v>Conditional ingestion/processing và evidence hoàn tất</x:v>
      </x:c>
      <x:c r="I40" s="38" t="str">
        <x:v>P2</x:v>
      </x:c>
      <x:c r="J40" s="38" t="str">
        <x:v>TODO</x:v>
      </x:c>
      <x:c r="K40" s="39" t="n">
        <x:f>IF(J40="DONE",1,IF(J40="REVIEW",0.8,IF(J40="DOING",0.5,0)))</x:f>
        <x:v>0</x:v>
      </x:c>
      <x:c r="L40" s="40"/>
      <x:c r="M40" s="40"/>
      <x:c r="N40" s="37" t="str"/>
    </x:row>
    <x:row r="41" ht="46" customHeight="1">
      <x:c r="A41" s="18" t="str">
        <x:v>K6-01</x:v>
      </x:c>
      <x:c r="B41" s="18" t="str">
        <x:v>Phase 6</x:v>
      </x:c>
      <x:c r="C41" s="37" t="str">
        <x:v>Thiết kế staging schema, keys và load strategy</x:v>
      </x:c>
      <x:c r="D41" s="37" t="str">
        <x:v>P6-01 đến P6-07</x:v>
      </x:c>
      <x:c r="E41" s="38" t="str">
        <x:v>A+B</x:v>
      </x:c>
      <x:c r="F41" s="38" t="str">
        <x:v>A+B</x:v>
      </x:c>
      <x:c r="G41" s="37" t="str">
        <x:v>K4-06, K5-04</x:v>
      </x:c>
      <x:c r="H41" s="37" t="str">
        <x:v>Tables, natural key và idempotency được chốt</x:v>
      </x:c>
      <x:c r="I41" s="38" t="str">
        <x:v>P0</x:v>
      </x:c>
      <x:c r="J41" s="38" t="str">
        <x:v>TODO</x:v>
      </x:c>
      <x:c r="K41" s="39" t="n">
        <x:f>IF(J41="DONE",1,IF(J41="REVIEW",0.8,IF(J41="DOING",0.5,0)))</x:f>
        <x:v>0</x:v>
      </x:c>
      <x:c r="L41" s="40"/>
      <x:c r="M41" s="40"/>
      <x:c r="N41" s="37" t="str"/>
    </x:row>
    <x:row r="42" ht="46" customHeight="1">
      <x:c r="A42" s="18" t="str">
        <x:v>K6-02</x:v>
      </x:c>
      <x:c r="B42" s="18" t="str">
        <x:v>Phase 6</x:v>
      </x:c>
      <x:c r="C42" s="37" t="str">
        <x:v>Viết DDL, connection và loader</x:v>
      </x:c>
      <x:c r="D42" s="37" t="str">
        <x:v>P6-08 đến P6-10</x:v>
      </x:c>
      <x:c r="E42" s="38" t="str">
        <x:v>A</x:v>
      </x:c>
      <x:c r="F42" s="38" t="str">
        <x:v>B</x:v>
      </x:c>
      <x:c r="G42" s="37" t="str">
        <x:v>K6-01</x:v>
      </x:c>
      <x:c r="H42" s="37" t="str">
        <x:v>Database mới tạo/load được từ config</x:v>
      </x:c>
      <x:c r="I42" s="38" t="str">
        <x:v>P0</x:v>
      </x:c>
      <x:c r="J42" s="38" t="str">
        <x:v>TODO</x:v>
      </x:c>
      <x:c r="K42" s="39" t="n">
        <x:f>IF(J42="DONE",1,IF(J42="REVIEW",0.8,IF(J42="DOING",0.5,0)))</x:f>
        <x:v>0</x:v>
      </x:c>
      <x:c r="L42" s="40"/>
      <x:c r="M42" s="40"/>
      <x:c r="N42" s="37" t="str"/>
    </x:row>
    <x:row r="43" ht="46" customHeight="1">
      <x:c r="A43" s="18" t="str">
        <x:v>K6-03</x:v>
      </x:c>
      <x:c r="B43" s="18" t="str">
        <x:v>Phase 6</x:v>
      </x:c>
      <x:c r="C43" s="37" t="str">
        <x:v>Load 1 station và kiểm tra chất lượng/rerun</x:v>
      </x:c>
      <x:c r="D43" s="37" t="str">
        <x:v>P6-11 đến P6-17</x:v>
      </x:c>
      <x:c r="E43" s="38" t="str">
        <x:v>A</x:v>
      </x:c>
      <x:c r="F43" s="38" t="str">
        <x:v>B</x:v>
      </x:c>
      <x:c r="G43" s="37" t="str">
        <x:v>K6-02</x:v>
      </x:c>
      <x:c r="H43" s="37" t="str">
        <x:v>Counts, types, NULL, key và rollback đúng</x:v>
      </x:c>
      <x:c r="I43" s="38" t="str">
        <x:v>P0</x:v>
      </x:c>
      <x:c r="J43" s="38" t="str">
        <x:v>TODO</x:v>
      </x:c>
      <x:c r="K43" s="39" t="n">
        <x:f>IF(J43="DONE",1,IF(J43="REVIEW",0.8,IF(J43="DOING",0.5,0)))</x:f>
        <x:v>0</x:v>
      </x:c>
      <x:c r="L43" s="40"/>
      <x:c r="M43" s="40"/>
      <x:c r="N43" s="37" t="str"/>
    </x:row>
    <x:row r="44" ht="46" customHeight="1">
      <x:c r="A44" s="18" t="str">
        <x:v>K6-04</x:v>
      </x:c>
      <x:c r="B44" s="18" t="str">
        <x:v>Phase 6</x:v>
      </x:c>
      <x:c r="C44" s="37" t="str">
        <x:v>Load reference/weather và đủ 12 station</x:v>
      </x:c>
      <x:c r="D44" s="37" t="str">
        <x:v>P6-18 đến P6-23</x:v>
      </x:c>
      <x:c r="E44" s="38" t="str">
        <x:v>A</x:v>
      </x:c>
      <x:c r="F44" s="38" t="str">
        <x:v>B</x:v>
      </x:c>
      <x:c r="G44" s="37" t="str">
        <x:v>K6-03</x:v>
      </x:c>
      <x:c r="H44" s="37" t="str">
        <x:v>Full staging reconciled theo station</x:v>
      </x:c>
      <x:c r="I44" s="38" t="str">
        <x:v>P0</x:v>
      </x:c>
      <x:c r="J44" s="38" t="str">
        <x:v>TODO</x:v>
      </x:c>
      <x:c r="K44" s="39" t="n">
        <x:f>IF(J44="DONE",1,IF(J44="REVIEW",0.8,IF(J44="DOING",0.5,0)))</x:f>
        <x:v>0</x:v>
      </x:c>
      <x:c r="L44" s="40"/>
      <x:c r="M44" s="40"/>
      <x:c r="N44" s="37" t="str"/>
    </x:row>
    <x:row r="45" ht="46" customHeight="1">
      <x:c r="A45" s="18" t="str">
        <x:v>K6-05</x:v>
      </x:c>
      <x:c r="B45" s="18" t="str">
        <x:v>Phase 6</x:v>
      </x:c>
      <x:c r="C45" s="37" t="str">
        <x:v>Tích hợp Airflow, dbt access và checkpoint</x:v>
      </x:c>
      <x:c r="D45" s="37" t="str">
        <x:v>P6-24 đến P6-28</x:v>
      </x:c>
      <x:c r="E45" s="38" t="str">
        <x:v>B</x:v>
      </x:c>
      <x:c r="F45" s="38" t="str">
        <x:v>A</x:v>
      </x:c>
      <x:c r="G45" s="37" t="str">
        <x:v>K6-04</x:v>
      </x:c>
      <x:c r="H45" s="37" t="str">
        <x:v>Processed→staging tái tạo và dbt đọc được</x:v>
      </x:c>
      <x:c r="I45" s="38" t="str">
        <x:v>P1</x:v>
      </x:c>
      <x:c r="J45" s="38" t="str">
        <x:v>TODO</x:v>
      </x:c>
      <x:c r="K45" s="39" t="n">
        <x:f>IF(J45="DONE",1,IF(J45="REVIEW",0.8,IF(J45="DOING",0.5,0)))</x:f>
        <x:v>0</x:v>
      </x:c>
      <x:c r="L45" s="40"/>
      <x:c r="M45" s="40"/>
      <x:c r="N45" s="37" t="str"/>
    </x:row>
    <x:row r="46" ht="46" customHeight="1">
      <x:c r="A46" s="18" t="str">
        <x:v>K7-01</x:v>
      </x:c>
      <x:c r="B46" s="18" t="str">
        <x:v>Phase 7</x:v>
      </x:c>
      <x:c r="C46" s="37" t="str">
        <x:v>Khởi tạo dbt sources và staging models</x:v>
      </x:c>
      <x:c r="D46" s="37" t="str">
        <x:v>P7-01 đến P7-09</x:v>
      </x:c>
      <x:c r="E46" s="38" t="str">
        <x:v>B</x:v>
      </x:c>
      <x:c r="F46" s="38" t="str">
        <x:v>A</x:v>
      </x:c>
      <x:c r="G46" s="37" t="str">
        <x:v>K6-05</x:v>
      </x:c>
      <x:c r="H46" s="37" t="str">
        <x:v>dbt debug, sources, stg models và basic tests hoạt động</x:v>
      </x:c>
      <x:c r="I46" s="38" t="str">
        <x:v>P0</x:v>
      </x:c>
      <x:c r="J46" s="38" t="str">
        <x:v>TODO</x:v>
      </x:c>
      <x:c r="K46" s="39" t="n">
        <x:f>IF(J46="DONE",1,IF(J46="REVIEW",0.8,IF(J46="DOING",0.5,0)))</x:f>
        <x:v>0</x:v>
      </x:c>
      <x:c r="L46" s="40"/>
      <x:c r="M46" s="40"/>
      <x:c r="N46" s="37" t="str"/>
    </x:row>
    <x:row r="47" ht="46" customHeight="1">
      <x:c r="A47" s="18" t="str">
        <x:v>K7-02</x:v>
      </x:c>
      <x:c r="B47" s="18" t="str">
        <x:v>Phase 7</x:v>
      </x:c>
      <x:c r="C47" s="37" t="str">
        <x:v>Chốt grain, weather option và star schema</x:v>
      </x:c>
      <x:c r="D47" s="37" t="str">
        <x:v>P7-10 đến P7-15</x:v>
      </x:c>
      <x:c r="E47" s="38" t="str">
        <x:v>A+B</x:v>
      </x:c>
      <x:c r="F47" s="38" t="str">
        <x:v>A+B</x:v>
      </x:c>
      <x:c r="G47" s="37" t="str">
        <x:v>K7-01, K5-04</x:v>
      </x:c>
      <x:c r="H47" s="37" t="str">
        <x:v>Grain station-hour và fact/dimension design rõ</x:v>
      </x:c>
      <x:c r="I47" s="38" t="str">
        <x:v>P0</x:v>
      </x:c>
      <x:c r="J47" s="38" t="str">
        <x:v>TODO</x:v>
      </x:c>
      <x:c r="K47" s="39" t="n">
        <x:f>IF(J47="DONE",1,IF(J47="REVIEW",0.8,IF(J47="DOING",0.5,0)))</x:f>
        <x:v>0</x:v>
      </x:c>
      <x:c r="L47" s="40"/>
      <x:c r="M47" s="40"/>
      <x:c r="N47" s="37" t="str"/>
    </x:row>
    <x:row r="48" ht="46" customHeight="1">
      <x:c r="A48" s="18" t="str">
        <x:v>K7-03</x:v>
      </x:c>
      <x:c r="B48" s="18" t="str">
        <x:v>Phase 7</x:v>
      </x:c>
      <x:c r="C48" s="37" t="str">
        <x:v>Xây dimensions, fact và dbt tests</x:v>
      </x:c>
      <x:c r="D48" s="37" t="str">
        <x:v>P7-16 đến P7-25</x:v>
      </x:c>
      <x:c r="E48" s="38" t="str">
        <x:v>B</x:v>
      </x:c>
      <x:c r="F48" s="38" t="str">
        <x:v>A</x:v>
      </x:c>
      <x:c r="G48" s="37" t="str">
        <x:v>K7-02</x:v>
      </x:c>
      <x:c r="H48" s="37" t="str">
        <x:v>Core DWH models pass key/relationship tests</x:v>
      </x:c>
      <x:c r="I48" s="38" t="str">
        <x:v>P0</x:v>
      </x:c>
      <x:c r="J48" s="38" t="str">
        <x:v>TODO</x:v>
      </x:c>
      <x:c r="K48" s="39" t="n">
        <x:f>IF(J48="DONE",1,IF(J48="REVIEW",0.8,IF(J48="DOING",0.5,0)))</x:f>
        <x:v>0</x:v>
      </x:c>
      <x:c r="L48" s="40"/>
      <x:c r="M48" s="40"/>
      <x:c r="N48" s="37" t="str"/>
    </x:row>
    <x:row r="49" ht="46" customHeight="1">
      <x:c r="A49" s="18" t="str">
        <x:v>K7-04</x:v>
      </x:c>
      <x:c r="B49" s="18" t="str">
        <x:v>Phase 7</x:v>
      </x:c>
      <x:c r="C49" s="37" t="str">
        <x:v>Xây marts phục vụ query thật</x:v>
      </x:c>
      <x:c r="D49" s="37" t="str">
        <x:v>P7-26 đến P7-30</x:v>
      </x:c>
      <x:c r="E49" s="38" t="str">
        <x:v>B</x:v>
      </x:c>
      <x:c r="F49" s="38" t="str">
        <x:v>A</x:v>
      </x:c>
      <x:c r="G49" s="37" t="str">
        <x:v>K7-03</x:v>
      </x:c>
      <x:c r="H49" s="37" t="str">
        <x:v>Chỉ có marts gắn với EDA/dashboard use case</x:v>
      </x:c>
      <x:c r="I49" s="38" t="str">
        <x:v>P1</x:v>
      </x:c>
      <x:c r="J49" s="38" t="str">
        <x:v>TODO</x:v>
      </x:c>
      <x:c r="K49" s="39" t="n">
        <x:f>IF(J49="DONE",1,IF(J49="REVIEW",0.8,IF(J49="DOING",0.5,0)))</x:f>
        <x:v>0</x:v>
      </x:c>
      <x:c r="L49" s="40"/>
      <x:c r="M49" s="40"/>
      <x:c r="N49" s="37" t="str"/>
    </x:row>
    <x:row r="50" ht="46" customHeight="1">
      <x:c r="A50" s="18" t="str">
        <x:v>K7-05</x:v>
      </x:c>
      <x:c r="B50" s="18" t="str">
        <x:v>Phase 7</x:v>
      </x:c>
      <x:c r="C50" s="37" t="str">
        <x:v>Chạy dbt và OLAP queries</x:v>
      </x:c>
      <x:c r="D50" s="37" t="str">
        <x:v>P7-31 đến P7-34</x:v>
      </x:c>
      <x:c r="E50" s="38" t="str">
        <x:v>B</x:v>
      </x:c>
      <x:c r="F50" s="38" t="str">
        <x:v>A</x:v>
      </x:c>
      <x:c r="G50" s="37" t="str">
        <x:v>K7-04</x:v>
      </x:c>
      <x:c r="H50" s="37" t="str">
        <x:v>dbt build pass và queries trả kết quả đúng</x:v>
      </x:c>
      <x:c r="I50" s="38" t="str">
        <x:v>P0</x:v>
      </x:c>
      <x:c r="J50" s="38" t="str">
        <x:v>TODO</x:v>
      </x:c>
      <x:c r="K50" s="39" t="n">
        <x:f>IF(J50="DONE",1,IF(J50="REVIEW",0.8,IF(J50="DOING",0.5,0)))</x:f>
        <x:v>0</x:v>
      </x:c>
      <x:c r="L50" s="40"/>
      <x:c r="M50" s="40"/>
      <x:c r="N50" s="37" t="str"/>
    </x:row>
    <x:row r="51" ht="46" customHeight="1">
      <x:c r="A51" s="18" t="str">
        <x:v>K7-06</x:v>
      </x:c>
      <x:c r="B51" s="18" t="str">
        <x:v>Phase 7</x:v>
      </x:c>
      <x:c r="C51" s="37" t="str">
        <x:v>Chứng minh vertical slice và scale 12 station</x:v>
      </x:c>
      <x:c r="D51" s="37" t="str">
        <x:v>P7-35 đến P7-40</x:v>
      </x:c>
      <x:c r="E51" s="38" t="str">
        <x:v>A+B</x:v>
      </x:c>
      <x:c r="F51" s="38" t="str">
        <x:v>A+B</x:v>
      </x:c>
      <x:c r="G51" s="37" t="str">
        <x:v>K7-05</x:v>
      </x:c>
      <x:c r="H51" s="37" t="str">
        <x:v>Source→DWH chạy thật, lineage rõ và full dataset ổn</x:v>
      </x:c>
      <x:c r="I51" s="38" t="str">
        <x:v>P0</x:v>
      </x:c>
      <x:c r="J51" s="38" t="str">
        <x:v>TODO</x:v>
      </x:c>
      <x:c r="K51" s="39" t="n">
        <x:f>IF(J51="DONE",1,IF(J51="REVIEW",0.8,IF(J51="DOING",0.5,0)))</x:f>
        <x:v>0</x:v>
      </x:c>
      <x:c r="L51" s="40"/>
      <x:c r="M51" s="40"/>
      <x:c r="N51" s="37" t="str"/>
    </x:row>
    <x:row r="52" ht="46" customHeight="1">
      <x:c r="A52" s="18" t="str">
        <x:v>K8-01</x:v>
      </x:c>
      <x:c r="B52" s="18" t="str">
        <x:v>Phase 8</x:v>
      </x:c>
      <x:c r="C52" s="37" t="str">
        <x:v>Chuẩn bị analytical dataset từ DWH</x:v>
      </x:c>
      <x:c r="D52" s="37" t="str">
        <x:v>P8-01 đến P8-06</x:v>
      </x:c>
      <x:c r="E52" s="38" t="str">
        <x:v>B</x:v>
      </x:c>
      <x:c r="F52" s="38" t="str">
        <x:v>A</x:v>
      </x:c>
      <x:c r="G52" s="37" t="str">
        <x:v>K7-06</x:v>
      </x:c>
      <x:c r="H52" s="37" t="str">
        <x:v>Dataset EDA đúng grain/count/missing policy</x:v>
      </x:c>
      <x:c r="I52" s="38" t="str">
        <x:v>P0</x:v>
      </x:c>
      <x:c r="J52" s="38" t="str">
        <x:v>TODO</x:v>
      </x:c>
      <x:c r="K52" s="39" t="n">
        <x:f>IF(J52="DONE",1,IF(J52="REVIEW",0.8,IF(J52="DOING",0.5,0)))</x:f>
        <x:v>0</x:v>
      </x:c>
      <x:c r="L52" s="40"/>
      <x:c r="M52" s="40"/>
      <x:c r="N52" s="37" t="str"/>
    </x:row>
    <x:row r="53" ht="46" customHeight="1">
      <x:c r="A53" s="18" t="str">
        <x:v>K8-02</x:v>
      </x:c>
      <x:c r="B53" s="18" t="str">
        <x:v>Phase 8</x:v>
      </x:c>
      <x:c r="C53" s="37" t="str">
        <x:v>Phân tích temporal và station</x:v>
      </x:c>
      <x:c r="D53" s="37" t="str">
        <x:v>P8-07 đến P8-15</x:v>
      </x:c>
      <x:c r="E53" s="38" t="str">
        <x:v>B</x:v>
      </x:c>
      <x:c r="F53" s="38" t="str">
        <x:v>A</x:v>
      </x:c>
      <x:c r="G53" s="37" t="str">
        <x:v>K8-01</x:v>
      </x:c>
      <x:c r="H53" s="37" t="str">
        <x:v>Patterns theo giờ/tháng/mùa và khác biệt station</x:v>
      </x:c>
      <x:c r="I53" s="38" t="str">
        <x:v>P0</x:v>
      </x:c>
      <x:c r="J53" s="38" t="str">
        <x:v>TODO</x:v>
      </x:c>
      <x:c r="K53" s="39" t="n">
        <x:f>IF(J53="DONE",1,IF(J53="REVIEW",0.8,IF(J53="DOING",0.5,0)))</x:f>
        <x:v>0</x:v>
      </x:c>
      <x:c r="L53" s="40"/>
      <x:c r="M53" s="40"/>
      <x:c r="N53" s="37" t="str"/>
    </x:row>
    <x:row r="54" ht="46" customHeight="1">
      <x:c r="A54" s="18" t="str">
        <x:v>K8-03</x:v>
      </x:c>
      <x:c r="B54" s="18" t="str">
        <x:v>Phase 8</x:v>
      </x:c>
      <x:c r="C54" s="37" t="str">
        <x:v>Phân tích pollutant-weather, extreme và missing bias</x:v>
      </x:c>
      <x:c r="D54" s="37" t="str">
        <x:v>P8-16 đến P8-23</x:v>
      </x:c>
      <x:c r="E54" s="38" t="str">
        <x:v>B</x:v>
      </x:c>
      <x:c r="F54" s="38" t="str">
        <x:v>A</x:v>
      </x:c>
      <x:c r="G54" s="37" t="str">
        <x:v>K8-01</x:v>
      </x:c>
      <x:c r="H54" s="37" t="str">
        <x:v>Relationships và data issues mới được kiểm tra</x:v>
      </x:c>
      <x:c r="I54" s="38" t="str">
        <x:v>P0</x:v>
      </x:c>
      <x:c r="J54" s="38" t="str">
        <x:v>TODO</x:v>
      </x:c>
      <x:c r="K54" s="39" t="n">
        <x:f>IF(J54="DONE",1,IF(J54="REVIEW",0.8,IF(J54="DOING",0.5,0)))</x:f>
        <x:v>0</x:v>
      </x:c>
      <x:c r="L54" s="40"/>
      <x:c r="M54" s="40"/>
      <x:c r="N54" s="37" t="str"/>
    </x:row>
    <x:row r="55" ht="46" customHeight="1">
      <x:c r="A55" s="18" t="str">
        <x:v>K8-04</x:v>
      </x:c>
      <x:c r="B55" s="18" t="str">
        <x:v>Phase 8</x:v>
      </x:c>
      <x:c r="C55" s="37" t="str">
        <x:v>Tạo charts, insights và candidate features</x:v>
      </x:c>
      <x:c r="D55" s="37" t="str">
        <x:v>P8-24 đến P8-28</x:v>
      </x:c>
      <x:c r="E55" s="38" t="str">
        <x:v>B</x:v>
      </x:c>
      <x:c r="F55" s="38" t="str">
        <x:v>A</x:v>
      </x:c>
      <x:c r="G55" s="37" t="str">
        <x:v>K8-02, K8-03</x:v>
      </x:c>
      <x:c r="H55" s="37" t="str">
        <x:v>Insight có evidence; feature candidates có lý do</x:v>
      </x:c>
      <x:c r="I55" s="38" t="str">
        <x:v>P1</x:v>
      </x:c>
      <x:c r="J55" s="38" t="str">
        <x:v>TODO</x:v>
      </x:c>
      <x:c r="K55" s="39" t="n">
        <x:f>IF(J55="DONE",1,IF(J55="REVIEW",0.8,IF(J55="DOING",0.5,0)))</x:f>
        <x:v>0</x:v>
      </x:c>
      <x:c r="L55" s="40"/>
      <x:c r="M55" s="40"/>
      <x:c r="N55" s="37" t="str"/>
    </x:row>
    <x:row r="56" ht="46" customHeight="1">
      <x:c r="A56" s="18" t="str">
        <x:v>K8-05</x:v>
      </x:c>
      <x:c r="B56" s="18" t="str">
        <x:v>Phase 8</x:v>
      </x:c>
      <x:c r="C56" s="37" t="str">
        <x:v>Cập nhật tài liệu và checkpoint EDA</x:v>
      </x:c>
      <x:c r="D56" s="37" t="str">
        <x:v>P8-29 đến P8-30</x:v>
      </x:c>
      <x:c r="E56" s="38" t="str">
        <x:v>A+B</x:v>
      </x:c>
      <x:c r="F56" s="38" t="str">
        <x:v>A+B</x:v>
      </x:c>
      <x:c r="G56" s="37" t="str">
        <x:v>K8-04</x:v>
      </x:c>
      <x:c r="H56" s="37" t="str">
        <x:v>EDA reproducible và DATA_GUIDE cập nhật</x:v>
      </x:c>
      <x:c r="I56" s="38" t="str">
        <x:v>P1</x:v>
      </x:c>
      <x:c r="J56" s="38" t="str">
        <x:v>TODO</x:v>
      </x:c>
      <x:c r="K56" s="39" t="n">
        <x:f>IF(J56="DONE",1,IF(J56="REVIEW",0.8,IF(J56="DOING",0.5,0)))</x:f>
        <x:v>0</x:v>
      </x:c>
      <x:c r="L56" s="40"/>
      <x:c r="M56" s="40"/>
      <x:c r="N56" s="37" t="str"/>
    </x:row>
    <x:row r="57" ht="46" customHeight="1">
      <x:c r="A57" s="18" t="str">
        <x:v>K9-01</x:v>
      </x:c>
      <x:c r="B57" s="18" t="str">
        <x:v>Phase 9</x:v>
      </x:c>
      <x:c r="C57" s="37" t="str">
        <x:v>Thiết kế station-profile feature dataset</x:v>
      </x:c>
      <x:c r="D57" s="37" t="str">
        <x:v>P9-01 đến P9-10</x:v>
      </x:c>
      <x:c r="E57" s="38" t="str">
        <x:v>B</x:v>
      </x:c>
      <x:c r="F57" s="38" t="str">
        <x:v>A</x:v>
      </x:c>
      <x:c r="G57" s="37" t="str">
        <x:v>K8-05</x:v>
      </x:c>
      <x:c r="H57" s="37" t="str">
        <x:v>12 rows station; feature set gọn và missing policy rõ</x:v>
      </x:c>
      <x:c r="I57" s="38" t="str">
        <x:v>P0</x:v>
      </x:c>
      <x:c r="J57" s="38" t="str">
        <x:v>TODO</x:v>
      </x:c>
      <x:c r="K57" s="39" t="n">
        <x:f>IF(J57="DONE",1,IF(J57="REVIEW",0.8,IF(J57="DOING",0.5,0)))</x:f>
        <x:v>0</x:v>
      </x:c>
      <x:c r="L57" s="40"/>
      <x:c r="M57" s="40"/>
      <x:c r="N57" s="37" t="str"/>
    </x:row>
    <x:row r="58" ht="46" customHeight="1">
      <x:c r="A58" s="18" t="str">
        <x:v>K9-02</x:v>
      </x:c>
      <x:c r="B58" s="18" t="str">
        <x:v>Phase 9</x:v>
      </x:c>
      <x:c r="C58" s="37" t="str">
        <x:v>Scale, chạy KMeans và đánh giá nhiều k</x:v>
      </x:c>
      <x:c r="D58" s="37" t="str">
        <x:v>P9-11 đến P9-16</x:v>
      </x:c>
      <x:c r="E58" s="38" t="str">
        <x:v>B</x:v>
      </x:c>
      <x:c r="F58" s="38" t="str">
        <x:v>A</x:v>
      </x:c>
      <x:c r="G58" s="37" t="str">
        <x:v>K9-01</x:v>
      </x:c>
      <x:c r="H58" s="37" t="str">
        <x:v>Elbow, silhouette, stability và profiles có đủ</x:v>
      </x:c>
      <x:c r="I58" s="38" t="str">
        <x:v>P0</x:v>
      </x:c>
      <x:c r="J58" s="38" t="str">
        <x:v>TODO</x:v>
      </x:c>
      <x:c r="K58" s="39" t="n">
        <x:f>IF(J58="DONE",1,IF(J58="REVIEW",0.8,IF(J58="DOING",0.5,0)))</x:f>
        <x:v>0</x:v>
      </x:c>
      <x:c r="L58" s="40"/>
      <x:c r="M58" s="40"/>
      <x:c r="N58" s="37" t="str"/>
    </x:row>
    <x:row r="59" ht="46" customHeight="1">
      <x:c r="A59" s="18" t="str">
        <x:v>K9-03</x:v>
      </x:c>
      <x:c r="B59" s="18" t="str">
        <x:v>Phase 9</x:v>
      </x:c>
      <x:c r="C59" s="37" t="str">
        <x:v>Chọn k và tạo kết quả clustering</x:v>
      </x:c>
      <x:c r="D59" s="37" t="str">
        <x:v>P9-17 đến P9-20</x:v>
      </x:c>
      <x:c r="E59" s="38" t="str">
        <x:v>A+B</x:v>
      </x:c>
      <x:c r="F59" s="38" t="str">
        <x:v>A+B</x:v>
      </x:c>
      <x:c r="G59" s="37" t="str">
        <x:v>K9-02</x:v>
      </x:c>
      <x:c r="H59" s="37" t="str">
        <x:v>Assignment và cluster profiles được chốt</x:v>
      </x:c>
      <x:c r="I59" s="38" t="str">
        <x:v>P0</x:v>
      </x:c>
      <x:c r="J59" s="38" t="str">
        <x:v>TODO</x:v>
      </x:c>
      <x:c r="K59" s="39" t="n">
        <x:f>IF(J59="DONE",1,IF(J59="REVIEW",0.8,IF(J59="DOING",0.5,0)))</x:f>
        <x:v>0</x:v>
      </x:c>
      <x:c r="L59" s="40"/>
      <x:c r="M59" s="40"/>
      <x:c r="N59" s="37" t="str"/>
    </x:row>
    <x:row r="60" ht="46" customHeight="1">
      <x:c r="A60" s="18" t="str">
        <x:v>K9-04</x:v>
      </x:c>
      <x:c r="B60" s="18" t="str">
        <x:v>Phase 9</x:v>
      </x:c>
      <x:c r="C60" s="37" t="str">
        <x:v>Trực quan hóa, sensitivity và lưu artifacts</x:v>
      </x:c>
      <x:c r="D60" s="37" t="str">
        <x:v>P9-21 đến P9-27</x:v>
      </x:c>
      <x:c r="E60" s="38" t="str">
        <x:v>B</x:v>
      </x:c>
      <x:c r="F60" s="38" t="str">
        <x:v>A</x:v>
      </x:c>
      <x:c r="G60" s="37" t="str">
        <x:v>K9-03</x:v>
      </x:c>
      <x:c r="H60" s="37" t="str">
        <x:v>Plots, scaler/model và dashboard table sẵn sàng</x:v>
      </x:c>
      <x:c r="I60" s="38" t="str">
        <x:v>P1</x:v>
      </x:c>
      <x:c r="J60" s="38" t="str">
        <x:v>TODO</x:v>
      </x:c>
      <x:c r="K60" s="39" t="n">
        <x:f>IF(J60="DONE",1,IF(J60="REVIEW",0.8,IF(J60="DOING",0.5,0)))</x:f>
        <x:v>0</x:v>
      </x:c>
      <x:c r="L60" s="40"/>
      <x:c r="M60" s="40"/>
      <x:c r="N60" s="37" t="str"/>
    </x:row>
    <x:row r="61" ht="46" customHeight="1">
      <x:c r="A61" s="18" t="str">
        <x:v>K9-05</x:v>
      </x:c>
      <x:c r="B61" s="18" t="str">
        <x:v>Phase 9</x:v>
      </x:c>
      <x:c r="C61" s="37" t="str">
        <x:v>Tái tạo, viết limitations và checkpoint</x:v>
      </x:c>
      <x:c r="D61" s="37" t="str">
        <x:v>P9-28 đến P9-30</x:v>
      </x:c>
      <x:c r="E61" s="38" t="str">
        <x:v>A</x:v>
      </x:c>
      <x:c r="F61" s="38" t="str">
        <x:v>B</x:v>
      </x:c>
      <x:c r="G61" s="37" t="str">
        <x:v>K9-04</x:v>
      </x:c>
      <x:c r="H61" s="37" t="str">
        <x:v>A chạy lại được và kết quả không bị phóng đại</x:v>
      </x:c>
      <x:c r="I61" s="38" t="str">
        <x:v>P1</x:v>
      </x:c>
      <x:c r="J61" s="38" t="str">
        <x:v>TODO</x:v>
      </x:c>
      <x:c r="K61" s="39" t="n">
        <x:f>IF(J61="DONE",1,IF(J61="REVIEW",0.8,IF(J61="DOING",0.5,0)))</x:f>
        <x:v>0</x:v>
      </x:c>
      <x:c r="L61" s="40"/>
      <x:c r="M61" s="40"/>
      <x:c r="N61" s="37" t="str"/>
    </x:row>
    <x:row r="62" ht="46" customHeight="1">
      <x:c r="A62" s="18" t="str">
        <x:v>K10-01</x:v>
      </x:c>
      <x:c r="B62" s="18" t="str">
        <x:v>Phase 10</x:v>
      </x:c>
      <x:c r="C62" s="37" t="str">
        <x:v>Chốt target, scope và modeling dataset</x:v>
      </x:c>
      <x:c r="D62" s="37" t="str">
        <x:v>P10-01 đến P10-08</x:v>
      </x:c>
      <x:c r="E62" s="38" t="str">
        <x:v>A+B</x:v>
      </x:c>
      <x:c r="F62" s="38" t="str">
        <x:v>A+B</x:v>
      </x:c>
      <x:c r="G62" s="37" t="str">
        <x:v>K8-05, K7-06</x:v>
      </x:c>
      <x:c r="H62" s="37" t="str">
        <x:v>PM2.5(t+1h), continuity và ground truth đúng</x:v>
      </x:c>
      <x:c r="I62" s="38" t="str">
        <x:v>P0</x:v>
      </x:c>
      <x:c r="J62" s="38" t="str">
        <x:v>TODO</x:v>
      </x:c>
      <x:c r="K62" s="39" t="n">
        <x:f>IF(J62="DONE",1,IF(J62="REVIEW",0.8,IF(J62="DOING",0.5,0)))</x:f>
        <x:v>0</x:v>
      </x:c>
      <x:c r="L62" s="40"/>
      <x:c r="M62" s="40"/>
      <x:c r="N62" s="37" t="str"/>
    </x:row>
    <x:row r="63" ht="46" customHeight="1">
      <x:c r="A63" s="18" t="str">
        <x:v>K10-02</x:v>
      </x:c>
      <x:c r="B63" s="18" t="str">
        <x:v>Phase 10</x:v>
      </x:c>
      <x:c r="C63" s="37" t="str">
        <x:v>Leakage audit và feature engineering</x:v>
      </x:c>
      <x:c r="D63" s="37" t="str">
        <x:v>P10-09 đến P10-18</x:v>
      </x:c>
      <x:c r="E63" s="38" t="str">
        <x:v>A+B</x:v>
      </x:c>
      <x:c r="F63" s="38" t="str">
        <x:v>A+B</x:v>
      </x:c>
      <x:c r="G63" s="37" t="str">
        <x:v>K10-01</x:v>
      </x:c>
      <x:c r="H63" s="37" t="str">
        <x:v>Feature availability, lags và rolling không dùng tương lai</x:v>
      </x:c>
      <x:c r="I63" s="38" t="str">
        <x:v>P0</x:v>
      </x:c>
      <x:c r="J63" s="38" t="str">
        <x:v>TODO</x:v>
      </x:c>
      <x:c r="K63" s="39" t="n">
        <x:f>IF(J63="DONE",1,IF(J63="REVIEW",0.8,IF(J63="DOING",0.5,0)))</x:f>
        <x:v>0</x:v>
      </x:c>
      <x:c r="L63" s="40"/>
      <x:c r="M63" s="40"/>
      <x:c r="N63" s="37" t="str"/>
    </x:row>
    <x:row r="64" ht="46" customHeight="1">
      <x:c r="A64" s="18" t="str">
        <x:v>K10-03</x:v>
      </x:c>
      <x:c r="B64" s="18" t="str">
        <x:v>Phase 10</x:v>
      </x:c>
      <x:c r="C64" s="37" t="str">
        <x:v>Missing policy và chronological split</x:v>
      </x:c>
      <x:c r="D64" s="37" t="str">
        <x:v>P10-19 đến P10-22</x:v>
      </x:c>
      <x:c r="E64" s="38" t="str">
        <x:v>A+B</x:v>
      </x:c>
      <x:c r="F64" s="38" t="str">
        <x:v>A+B</x:v>
      </x:c>
      <x:c r="G64" s="37" t="str">
        <x:v>K10-02</x:v>
      </x:c>
      <x:c r="H64" s="37" t="str">
        <x:v>Train/validation/test không overlap; transformer train-only</x:v>
      </x:c>
      <x:c r="I64" s="38" t="str">
        <x:v>P0</x:v>
      </x:c>
      <x:c r="J64" s="38" t="str">
        <x:v>TODO</x:v>
      </x:c>
      <x:c r="K64" s="39" t="n">
        <x:f>IF(J64="DONE",1,IF(J64="REVIEW",0.8,IF(J64="DOING",0.5,0)))</x:f>
        <x:v>0</x:v>
      </x:c>
      <x:c r="L64" s="40"/>
      <x:c r="M64" s="40"/>
      <x:c r="N64" s="37" t="str"/>
    </x:row>
    <x:row r="65" ht="46" customHeight="1">
      <x:c r="A65" s="18" t="str">
        <x:v>K10-04</x:v>
      </x:c>
      <x:c r="B65" s="18" t="str">
        <x:v>Phase 10</x:v>
      </x:c>
      <x:c r="C65" s="37" t="str">
        <x:v>Xây và đánh giá persistence baseline</x:v>
      </x:c>
      <x:c r="D65" s="37" t="str">
        <x:v>P10-23 đến P10-25</x:v>
      </x:c>
      <x:c r="E65" s="38" t="str">
        <x:v>B</x:v>
      </x:c>
      <x:c r="F65" s="38" t="str">
        <x:v>A</x:v>
      </x:c>
      <x:c r="G65" s="37" t="str">
        <x:v>K10-03</x:v>
      </x:c>
      <x:c r="H65" s="37" t="str">
        <x:v>Baseline metrics overall và per-station</x:v>
      </x:c>
      <x:c r="I65" s="38" t="str">
        <x:v>P0</x:v>
      </x:c>
      <x:c r="J65" s="38" t="str">
        <x:v>TODO</x:v>
      </x:c>
      <x:c r="K65" s="39" t="n">
        <x:f>IF(J65="DONE",1,IF(J65="REVIEW",0.8,IF(J65="DOING",0.5,0)))</x:f>
        <x:v>0</x:v>
      </x:c>
      <x:c r="L65" s="40"/>
      <x:c r="M65" s="40"/>
      <x:c r="N65" s="37" t="str"/>
    </x:row>
    <x:row r="66" ht="46" customHeight="1">
      <x:c r="A66" s="18" t="str">
        <x:v>K10-05</x:v>
      </x:c>
      <x:c r="B66" s="18" t="str">
        <x:v>Phase 10</x:v>
      </x:c>
      <x:c r="C66" s="37" t="str">
        <x:v>Train, tune và chọn ML model</x:v>
      </x:c>
      <x:c r="D66" s="37" t="str">
        <x:v>P10-26 đến P10-34</x:v>
      </x:c>
      <x:c r="E66" s="38" t="str">
        <x:v>B</x:v>
      </x:c>
      <x:c r="F66" s="38" t="str">
        <x:v>A</x:v>
      </x:c>
      <x:c r="G66" s="37" t="str">
        <x:v>K10-04</x:v>
      </x:c>
      <x:c r="H66" s="37" t="str">
        <x:v>≥2 models so với baseline trên validation</x:v>
      </x:c>
      <x:c r="I66" s="38" t="str">
        <x:v>P0</x:v>
      </x:c>
      <x:c r="J66" s="38" t="str">
        <x:v>TODO</x:v>
      </x:c>
      <x:c r="K66" s="39" t="n">
        <x:f>IF(J66="DONE",1,IF(J66="REVIEW",0.8,IF(J66="DOING",0.5,0)))</x:f>
        <x:v>0</x:v>
      </x:c>
      <x:c r="L66" s="40"/>
      <x:c r="M66" s="40"/>
      <x:c r="N66" s="37" t="str"/>
    </x:row>
    <x:row r="67" ht="46" customHeight="1">
      <x:c r="A67" s="18" t="str">
        <x:v>K10-06</x:v>
      </x:c>
      <x:c r="B67" s="18" t="str">
        <x:v>Phase 10</x:v>
      </x:c>
      <x:c r="C67" s="37" t="str">
        <x:v>Test final model và error analysis</x:v>
      </x:c>
      <x:c r="D67" s="37" t="str">
        <x:v>P10-35 đến P10-42</x:v>
      </x:c>
      <x:c r="E67" s="38" t="str">
        <x:v>B</x:v>
      </x:c>
      <x:c r="F67" s="38" t="str">
        <x:v>A</x:v>
      </x:c>
      <x:c r="G67" s="37" t="str">
        <x:v>K10-05</x:v>
      </x:c>
      <x:c r="H67" s="37" t="str">
        <x:v>Test metrics và lỗi theo station/time/peaks</x:v>
      </x:c>
      <x:c r="I67" s="38" t="str">
        <x:v>P0</x:v>
      </x:c>
      <x:c r="J67" s="38" t="str">
        <x:v>TODO</x:v>
      </x:c>
      <x:c r="K67" s="39" t="n">
        <x:f>IF(J67="DONE",1,IF(J67="REVIEW",0.8,IF(J67="DOING",0.5,0)))</x:f>
        <x:v>0</x:v>
      </x:c>
      <x:c r="L67" s="40"/>
      <x:c r="M67" s="40"/>
      <x:c r="N67" s="37" t="str"/>
    </x:row>
    <x:row r="68" ht="46" customHeight="1">
      <x:c r="A68" s="18" t="str">
        <x:v>K10-07</x:v>
      </x:c>
      <x:c r="B68" s="18" t="str">
        <x:v>Phase 10</x:v>
      </x:c>
      <x:c r="C68" s="37" t="str">
        <x:v>Lưu artifacts, predictions và leakage review</x:v>
      </x:c>
      <x:c r="D68" s="37" t="str">
        <x:v>P10-43 đến P10-50</x:v>
      </x:c>
      <x:c r="E68" s="38" t="str">
        <x:v>A+B</x:v>
      </x:c>
      <x:c r="F68" s="38" t="str">
        <x:v>A+B</x:v>
      </x:c>
      <x:c r="G68" s="37" t="str">
        <x:v>K10-06</x:v>
      </x:c>
      <x:c r="H68" s="37" t="str">
        <x:v>Model/predictions tái tạo, documentation hoàn tất</x:v>
      </x:c>
      <x:c r="I68" s="38" t="str">
        <x:v>P1</x:v>
      </x:c>
      <x:c r="J68" s="38" t="str">
        <x:v>TODO</x:v>
      </x:c>
      <x:c r="K68" s="39" t="n">
        <x:f>IF(J68="DONE",1,IF(J68="REVIEW",0.8,IF(J68="DOING",0.5,0)))</x:f>
        <x:v>0</x:v>
      </x:c>
      <x:c r="L68" s="40"/>
      <x:c r="M68" s="40"/>
      <x:c r="N68" s="37" t="str"/>
    </x:row>
    <x:row r="69" ht="46" customHeight="1">
      <x:c r="A69" s="18" t="str">
        <x:v>K11-01</x:v>
      </x:c>
      <x:c r="B69" s="18" t="str">
        <x:v>Phase 11</x:v>
      </x:c>
      <x:c r="C69" s="37" t="str">
        <x:v>Chốt dashboard MVP và data contract</x:v>
      </x:c>
      <x:c r="D69" s="37" t="str">
        <x:v>P11-01 đến P11-03</x:v>
      </x:c>
      <x:c r="E69" s="38" t="str">
        <x:v>A+B</x:v>
      </x:c>
      <x:c r="F69" s="38" t="str">
        <x:v>A+B</x:v>
      </x:c>
      <x:c r="G69" s="37" t="str">
        <x:v>K9-05, K10-07</x:v>
      </x:c>
      <x:c r="H69" s="37" t="str">
        <x:v>4 pages và nguồn DWH/mart rõ</x:v>
      </x:c>
      <x:c r="I69" s="38" t="str">
        <x:v>P0</x:v>
      </x:c>
      <x:c r="J69" s="38" t="str">
        <x:v>TODO</x:v>
      </x:c>
      <x:c r="K69" s="39" t="n">
        <x:f>IF(J69="DONE",1,IF(J69="REVIEW",0.8,IF(J69="DOING",0.5,0)))</x:f>
        <x:v>0</x:v>
      </x:c>
      <x:c r="L69" s="40"/>
      <x:c r="M69" s="40"/>
      <x:c r="N69" s="37" t="str"/>
    </x:row>
    <x:row r="70" ht="46" customHeight="1">
      <x:c r="A70" s="18" t="str">
        <x:v>K11-02</x:v>
      </x:c>
      <x:c r="B70" s="18" t="str">
        <x:v>Phase 11</x:v>
      </x:c>
      <x:c r="C70" s="37" t="str">
        <x:v>Xây app, query layer, cache và filters</x:v>
      </x:c>
      <x:c r="D70" s="37" t="str">
        <x:v>P11-04 đến P11-11</x:v>
      </x:c>
      <x:c r="E70" s="38" t="str">
        <x:v>A+B</x:v>
      </x:c>
      <x:c r="F70" s="38" t="str">
        <x:v>A+B</x:v>
      </x:c>
      <x:c r="G70" s="37" t="str">
        <x:v>K11-01</x:v>
      </x:c>
      <x:c r="H70" s="37" t="str">
        <x:v>Streamlit kết nối DWH; filters hoạt động</x:v>
      </x:c>
      <x:c r="I70" s="38" t="str">
        <x:v>P0</x:v>
      </x:c>
      <x:c r="J70" s="38" t="str">
        <x:v>TODO</x:v>
      </x:c>
      <x:c r="K70" s="39" t="n">
        <x:f>IF(J70="DONE",1,IF(J70="REVIEW",0.8,IF(J70="DOING",0.5,0)))</x:f>
        <x:v>0</x:v>
      </x:c>
      <x:c r="L70" s="40"/>
      <x:c r="M70" s="40"/>
      <x:c r="N70" s="37" t="str"/>
    </x:row>
    <x:row r="71" ht="46" customHeight="1">
      <x:c r="A71" s="18" t="str">
        <x:v>K11-03</x:v>
      </x:c>
      <x:c r="B71" s="18" t="str">
        <x:v>Phase 11</x:v>
      </x:c>
      <x:c r="C71" s="37" t="str">
        <x:v>Xây Overview và Station pages</x:v>
      </x:c>
      <x:c r="D71" s="37" t="str">
        <x:v>P11-12 đến P11-19</x:v>
      </x:c>
      <x:c r="E71" s="38" t="str">
        <x:v>B</x:v>
      </x:c>
      <x:c r="F71" s="38" t="str">
        <x:v>A</x:v>
      </x:c>
      <x:c r="G71" s="37" t="str">
        <x:v>K11-02</x:v>
      </x:c>
      <x:c r="H71" s="37" t="str">
        <x:v>KPI, trends, ranking và clusters hiển thị đúng</x:v>
      </x:c>
      <x:c r="I71" s="38" t="str">
        <x:v>P0</x:v>
      </x:c>
      <x:c r="J71" s="38" t="str">
        <x:v>TODO</x:v>
      </x:c>
      <x:c r="K71" s="39" t="n">
        <x:f>IF(J71="DONE",1,IF(J71="REVIEW",0.8,IF(J71="DOING",0.5,0)))</x:f>
        <x:v>0</x:v>
      </x:c>
      <x:c r="L71" s="40"/>
      <x:c r="M71" s="40"/>
      <x:c r="N71" s="37" t="str"/>
    </x:row>
    <x:row r="72" ht="46" customHeight="1">
      <x:c r="A72" s="18" t="str">
        <x:v>K11-04</x:v>
      </x:c>
      <x:c r="B72" s="18" t="str">
        <x:v>Phase 11</x:v>
      </x:c>
      <x:c r="C72" s="37" t="str">
        <x:v>Xây Weather và Prediction pages</x:v>
      </x:c>
      <x:c r="D72" s="37" t="str">
        <x:v>P11-20 đến P11-26</x:v>
      </x:c>
      <x:c r="E72" s="38" t="str">
        <x:v>B</x:v>
      </x:c>
      <x:c r="F72" s="38" t="str">
        <x:v>A</x:v>
      </x:c>
      <x:c r="G72" s="37" t="str">
        <x:v>K11-02</x:v>
      </x:c>
      <x:c r="H72" s="37" t="str">
        <x:v>Weather relationships, predictions và baseline rõ</x:v>
      </x:c>
      <x:c r="I72" s="38" t="str">
        <x:v>P0</x:v>
      </x:c>
      <x:c r="J72" s="38" t="str">
        <x:v>TODO</x:v>
      </x:c>
      <x:c r="K72" s="39" t="n">
        <x:f>IF(J72="DONE",1,IF(J72="REVIEW",0.8,IF(J72="DOING",0.5,0)))</x:f>
        <x:v>0</x:v>
      </x:c>
      <x:c r="L72" s="40"/>
      <x:c r="M72" s="40"/>
      <x:c r="N72" s="37" t="str"/>
    </x:row>
    <x:row r="73" ht="46" customHeight="1">
      <x:c r="A73" s="18" t="str">
        <x:v>K11-05</x:v>
      </x:c>
      <x:c r="B73" s="18" t="str">
        <x:v>Phase 11</x:v>
      </x:c>
      <x:c r="C73" s="37" t="str">
        <x:v>QA, Gate E và checkpoint dashboard</x:v>
      </x:c>
      <x:c r="D73" s="37" t="str">
        <x:v>P11-27 đến P11-34</x:v>
      </x:c>
      <x:c r="E73" s="38" t="str">
        <x:v>A+B</x:v>
      </x:c>
      <x:c r="F73" s="38" t="str">
        <x:v>A+B</x:v>
      </x:c>
      <x:c r="G73" s="37" t="str">
        <x:v>K11-03, K11-04</x:v>
      </x:c>
      <x:c r="H73" s="37" t="str">
        <x:v>Dashboard ổn định và không bypass DWH</x:v>
      </x:c>
      <x:c r="I73" s="38" t="str">
        <x:v>P1</x:v>
      </x:c>
      <x:c r="J73" s="38" t="str">
        <x:v>TODO</x:v>
      </x:c>
      <x:c r="K73" s="39" t="n">
        <x:f>IF(J73="DONE",1,IF(J73="REVIEW",0.8,IF(J73="DOING",0.5,0)))</x:f>
        <x:v>0</x:v>
      </x:c>
      <x:c r="L73" s="40"/>
      <x:c r="M73" s="40"/>
      <x:c r="N73" s="37" t="str"/>
    </x:row>
    <x:row r="74" ht="46" customHeight="1">
      <x:c r="A74" s="18" t="str">
        <x:v>K12-01</x:v>
      </x:c>
      <x:c r="B74" s="18" t="str">
        <x:v>Phase 12</x:v>
      </x:c>
      <x:c r="C74" s="37" t="str">
        <x:v>Lập test plan và dựng fresh environment</x:v>
      </x:c>
      <x:c r="D74" s="37" t="str">
        <x:v>P12-01 đến P12-06</x:v>
      </x:c>
      <x:c r="E74" s="38" t="str">
        <x:v>A+B</x:v>
      </x:c>
      <x:c r="F74" s="38" t="str">
        <x:v>A+B</x:v>
      </x:c>
      <x:c r="G74" s="37" t="str">
        <x:v>K11-05</x:v>
      </x:c>
      <x:c r="H74" s="37" t="str">
        <x:v>Môi trường sạch dựng được chỉ từ repo/docs</x:v>
      </x:c>
      <x:c r="I74" s="38" t="str">
        <x:v>P0</x:v>
      </x:c>
      <x:c r="J74" s="38" t="str">
        <x:v>TODO</x:v>
      </x:c>
      <x:c r="K74" s="39" t="n">
        <x:f>IF(J74="DONE",1,IF(J74="REVIEW",0.8,IF(J74="DOING",0.5,0)))</x:f>
        <x:v>0</x:v>
      </x:c>
      <x:c r="L74" s="40"/>
      <x:c r="M74" s="40"/>
      <x:c r="N74" s="37" t="str"/>
    </x:row>
    <x:row r="75" ht="46" customHeight="1">
      <x:c r="A75" s="18" t="str">
        <x:v>K12-02</x:v>
      </x:c>
      <x:c r="B75" s="18" t="str">
        <x:v>Phase 12</x:v>
      </x:c>
      <x:c r="C75" s="37" t="str">
        <x:v>Chạy end-to-end 1 rồi 12 station</x:v>
      </x:c>
      <x:c r="D75" s="37" t="str">
        <x:v>P12-07 đến P12-10</x:v>
      </x:c>
      <x:c r="E75" s="38" t="str">
        <x:v>A+B</x:v>
      </x:c>
      <x:c r="F75" s="38" t="str">
        <x:v>A+B</x:v>
      </x:c>
      <x:c r="G75" s="37" t="str">
        <x:v>K12-01</x:v>
      </x:c>
      <x:c r="H75" s="37" t="str">
        <x:v>Source→dashboard và ML chạy trên dữ liệu mới</x:v>
      </x:c>
      <x:c r="I75" s="38" t="str">
        <x:v>P0</x:v>
      </x:c>
      <x:c r="J75" s="38" t="str">
        <x:v>TODO</x:v>
      </x:c>
      <x:c r="K75" s="39" t="n">
        <x:f>IF(J75="DONE",1,IF(J75="REVIEW",0.8,IF(J75="DOING",0.5,0)))</x:f>
        <x:v>0</x:v>
      </x:c>
      <x:c r="L75" s="40"/>
      <x:c r="M75" s="40"/>
      <x:c r="N75" s="37" t="str"/>
    </x:row>
    <x:row r="76" ht="46" customHeight="1">
      <x:c r="A76" s="18" t="str">
        <x:v>K12-03</x:v>
      </x:c>
      <x:c r="B76" s="18" t="str">
        <x:v>Phase 12</x:v>
      </x:c>
      <x:c r="C76" s="37" t="str">
        <x:v>Test rerun và failure recovery</x:v>
      </x:c>
      <x:c r="D76" s="37" t="str">
        <x:v>P12-11 đến P12-18</x:v>
      </x:c>
      <x:c r="E76" s="38" t="str">
        <x:v>A</x:v>
      </x:c>
      <x:c r="F76" s="38" t="str">
        <x:v>B</x:v>
      </x:c>
      <x:c r="G76" s="37" t="str">
        <x:v>K12-02</x:v>
      </x:c>
      <x:c r="H76" s="37" t="str">
        <x:v>Idempotency và dependency failure xử lý đúng</x:v>
      </x:c>
      <x:c r="I76" s="38" t="str">
        <x:v>P1</x:v>
      </x:c>
      <x:c r="J76" s="38" t="str">
        <x:v>TODO</x:v>
      </x:c>
      <x:c r="K76" s="39" t="n">
        <x:f>IF(J76="DONE",1,IF(J76="REVIEW",0.8,IF(J76="DOING",0.5,0)))</x:f>
        <x:v>0</x:v>
      </x:c>
      <x:c r="L76" s="40"/>
      <x:c r="M76" s="40"/>
      <x:c r="N76" s="37" t="str"/>
    </x:row>
    <x:row r="77" ht="46" customHeight="1">
      <x:c r="A77" s="18" t="str">
        <x:v>K12-04</x:v>
      </x:c>
      <x:c r="B77" s="18" t="str">
        <x:v>Phase 12</x:v>
      </x:c>
      <x:c r="C77" s="37" t="str">
        <x:v>Chạy full quality gates</x:v>
      </x:c>
      <x:c r="D77" s="37" t="str">
        <x:v>P12-19 đến P12-22</x:v>
      </x:c>
      <x:c r="E77" s="38" t="str">
        <x:v>A+B</x:v>
      </x:c>
      <x:c r="F77" s="38" t="str">
        <x:v>A+B</x:v>
      </x:c>
      <x:c r="G77" s="37" t="str">
        <x:v>K12-02</x:v>
      </x:c>
      <x:c r="H77" s="37" t="str">
        <x:v>Profiling, dbt, ML, dashboard checks pass</x:v>
      </x:c>
      <x:c r="I77" s="38" t="str">
        <x:v>P0</x:v>
      </x:c>
      <x:c r="J77" s="38" t="str">
        <x:v>TODO</x:v>
      </x:c>
      <x:c r="K77" s="39" t="n">
        <x:f>IF(J77="DONE",1,IF(J77="REVIEW",0.8,IF(J77="DOING",0.5,0)))</x:f>
        <x:v>0</x:v>
      </x:c>
      <x:c r="L77" s="40"/>
      <x:c r="M77" s="40"/>
      <x:c r="N77" s="37" t="str"/>
    </x:row>
    <x:row r="78" ht="46" customHeight="1">
      <x:c r="A78" s="18" t="str">
        <x:v>K12-05</x:v>
      </x:c>
      <x:c r="B78" s="18" t="str">
        <x:v>Phase 12</x:v>
      </x:c>
      <x:c r="C78" s="37" t="str">
        <x:v>Cleanup code, config, security và dependencies</x:v>
      </x:c>
      <x:c r="D78" s="37" t="str">
        <x:v>P12-23 đến P12-29</x:v>
      </x:c>
      <x:c r="E78" s="38" t="str">
        <x:v>A+B</x:v>
      </x:c>
      <x:c r="F78" s="38" t="str">
        <x:v>A+B</x:v>
      </x:c>
      <x:c r="G78" s="37" t="str">
        <x:v>K12-03, K12-04</x:v>
      </x:c>
      <x:c r="H78" s="37" t="str">
        <x:v>Không path/secret/code thừa; versions reproducible</x:v>
      </x:c>
      <x:c r="I78" s="38" t="str">
        <x:v>P1</x:v>
      </x:c>
      <x:c r="J78" s="38" t="str">
        <x:v>TODO</x:v>
      </x:c>
      <x:c r="K78" s="39" t="n">
        <x:f>IF(J78="DONE",1,IF(J78="REVIEW",0.8,IF(J78="DOING",0.5,0)))</x:f>
        <x:v>0</x:v>
      </x:c>
      <x:c r="L78" s="40"/>
      <x:c r="M78" s="40"/>
      <x:c r="N78" s="37" t="str"/>
    </x:row>
    <x:row r="79" ht="46" customHeight="1">
      <x:c r="A79" s="18" t="str">
        <x:v>K12-06</x:v>
      </x:c>
      <x:c r="B79" s="18" t="str">
        <x:v>Phase 12</x:v>
      </x:c>
      <x:c r="C79" s="37" t="str">
        <x:v>Backup, cross-review và stable checkpoint</x:v>
      </x:c>
      <x:c r="D79" s="37" t="str">
        <x:v>P12-30 đến P12-36</x:v>
      </x:c>
      <x:c r="E79" s="38" t="str">
        <x:v>A+B</x:v>
      </x:c>
      <x:c r="F79" s="38" t="str">
        <x:v>A+B</x:v>
      </x:c>
      <x:c r="G79" s="37" t="str">
        <x:v>K12-05</x:v>
      </x:c>
      <x:c r="H79" s="37" t="str">
        <x:v>Backup, runbook, tag stable và limitations sẵn sàng</x:v>
      </x:c>
      <x:c r="I79" s="38" t="str">
        <x:v>P1</x:v>
      </x:c>
      <x:c r="J79" s="38" t="str">
        <x:v>TODO</x:v>
      </x:c>
      <x:c r="K79" s="39" t="n">
        <x:f>IF(J79="DONE",1,IF(J79="REVIEW",0.8,IF(J79="DOING",0.5,0)))</x:f>
        <x:v>0</x:v>
      </x:c>
      <x:c r="L79" s="40"/>
      <x:c r="M79" s="40"/>
      <x:c r="N79" s="37" t="str"/>
    </x:row>
    <x:row r="80" ht="46" customHeight="1">
      <x:c r="A80" s="18" t="str">
        <x:v>K13-01</x:v>
      </x:c>
      <x:c r="B80" s="18" t="str">
        <x:v>Phase 13</x:v>
      </x:c>
      <x:c r="C80" s="37" t="str">
        <x:v>Chốt outline và viết phần data/architecture</x:v>
      </x:c>
      <x:c r="D80" s="37" t="str">
        <x:v>P13-01 đến P13-09</x:v>
      </x:c>
      <x:c r="E80" s="38" t="str">
        <x:v>A+B</x:v>
      </x:c>
      <x:c r="F80" s="38" t="str">
        <x:v>A+B</x:v>
      </x:c>
      <x:c r="G80" s="37" t="str">
        <x:v>K12-06</x:v>
      </x:c>
      <x:c r="H80" s="37" t="str">
        <x:v>Báo cáo bao phủ data pipeline và DWH</x:v>
      </x:c>
      <x:c r="I80" s="38" t="str">
        <x:v>P0</x:v>
      </x:c>
      <x:c r="J80" s="38" t="str">
        <x:v>TODO</x:v>
      </x:c>
      <x:c r="K80" s="39" t="n">
        <x:f>IF(J80="DONE",1,IF(J80="REVIEW",0.8,IF(J80="DOING",0.5,0)))</x:f>
        <x:v>0</x:v>
      </x:c>
      <x:c r="L80" s="40"/>
      <x:c r="M80" s="40"/>
      <x:c r="N80" s="37" t="str"/>
    </x:row>
    <x:row r="81" ht="46" customHeight="1">
      <x:c r="A81" s="18" t="str">
        <x:v>K13-02</x:v>
      </x:c>
      <x:c r="B81" s="18" t="str">
        <x:v>Phase 13</x:v>
      </x:c>
      <x:c r="C81" s="37" t="str">
        <x:v>Viết EDA, clustering, forecasting và limitations</x:v>
      </x:c>
      <x:c r="D81" s="37" t="str">
        <x:v>P13-10 đến P13-15</x:v>
      </x:c>
      <x:c r="E81" s="38" t="str">
        <x:v>B</x:v>
      </x:c>
      <x:c r="F81" s="38" t="str">
        <x:v>A</x:v>
      </x:c>
      <x:c r="G81" s="37" t="str">
        <x:v>K13-01</x:v>
      </x:c>
      <x:c r="H81" s="37" t="str">
        <x:v>Mining results có evidence và limitations</x:v>
      </x:c>
      <x:c r="I81" s="38" t="str">
        <x:v>P0</x:v>
      </x:c>
      <x:c r="J81" s="38" t="str">
        <x:v>TODO</x:v>
      </x:c>
      <x:c r="K81" s="39" t="n">
        <x:f>IF(J81="DONE",1,IF(J81="REVIEW",0.8,IF(J81="DOING",0.5,0)))</x:f>
        <x:v>0</x:v>
      </x:c>
      <x:c r="L81" s="40"/>
      <x:c r="M81" s="40"/>
      <x:c r="N81" s="37" t="str"/>
    </x:row>
    <x:row r="82" ht="46" customHeight="1">
      <x:c r="A82" s="18" t="str">
        <x:v>K13-03</x:v>
      </x:c>
      <x:c r="B82" s="18" t="str">
        <x:v>Phase 13</x:v>
      </x:c>
      <x:c r="C82" s="37" t="str">
        <x:v>Thu thập screenshots/evidence thật</x:v>
      </x:c>
      <x:c r="D82" s="37" t="str">
        <x:v>P13-16 đến P13-23</x:v>
      </x:c>
      <x:c r="E82" s="38" t="str">
        <x:v>A+B</x:v>
      </x:c>
      <x:c r="F82" s="38" t="str">
        <x:v>A+B</x:v>
      </x:c>
      <x:c r="G82" s="37" t="str">
        <x:v>K12-06</x:v>
      </x:c>
      <x:c r="H82" s="37" t="str">
        <x:v>Airflow, MinIO, DWH, dbt, ML, dashboard evidence</x:v>
      </x:c>
      <x:c r="I82" s="38" t="str">
        <x:v>P1</x:v>
      </x:c>
      <x:c r="J82" s="38" t="str">
        <x:v>TODO</x:v>
      </x:c>
      <x:c r="K82" s="39" t="n">
        <x:f>IF(J82="DONE",1,IF(J82="REVIEW",0.8,IF(J82="DOING",0.5,0)))</x:f>
        <x:v>0</x:v>
      </x:c>
      <x:c r="L82" s="40"/>
      <x:c r="M82" s="40"/>
      <x:c r="N82" s="37" t="str"/>
    </x:row>
    <x:row r="83" ht="46" customHeight="1">
      <x:c r="A83" s="18" t="str">
        <x:v>K13-04</x:v>
      </x:c>
      <x:c r="B83" s="18" t="str">
        <x:v>Phase 13</x:v>
      </x:c>
      <x:c r="C83" s="37" t="str">
        <x:v>QA báo cáo và thiết kế presentation</x:v>
      </x:c>
      <x:c r="D83" s="37" t="str">
        <x:v>P13-24 đến P13-27</x:v>
      </x:c>
      <x:c r="E83" s="38" t="str">
        <x:v>A+B</x:v>
      </x:c>
      <x:c r="F83" s="38" t="str">
        <x:v>A+B</x:v>
      </x:c>
      <x:c r="G83" s="37" t="str">
        <x:v>K13-02, K13-03</x:v>
      </x:c>
      <x:c r="H83" s="37" t="str">
        <x:v>Số liệu nhất quán; slide/storyline và thời lượng rõ</x:v>
      </x:c>
      <x:c r="I83" s="38" t="str">
        <x:v>P1</x:v>
      </x:c>
      <x:c r="J83" s="38" t="str">
        <x:v>TODO</x:v>
      </x:c>
      <x:c r="K83" s="39" t="n">
        <x:f>IF(J83="DONE",1,IF(J83="REVIEW",0.8,IF(J83="DOING",0.5,0)))</x:f>
        <x:v>0</x:v>
      </x:c>
      <x:c r="L83" s="40"/>
      <x:c r="M83" s="40"/>
      <x:c r="N83" s="37" t="str"/>
    </x:row>
    <x:row r="84" ht="46" customHeight="1">
      <x:c r="A84" s="18" t="str">
        <x:v>K13-05</x:v>
      </x:c>
      <x:c r="B84" s="18" t="str">
        <x:v>Phase 13</x:v>
      </x:c>
      <x:c r="C84" s="37" t="str">
        <x:v>Chuẩn bị demo, backup và Q&amp;A</x:v>
      </x:c>
      <x:c r="D84" s="37" t="str">
        <x:v>P13-28 đến P13-32</x:v>
      </x:c>
      <x:c r="E84" s="38" t="str">
        <x:v>A+B</x:v>
      </x:c>
      <x:c r="F84" s="38" t="str">
        <x:v>A+B</x:v>
      </x:c>
      <x:c r="G84" s="37" t="str">
        <x:v>K13-04</x:v>
      </x:c>
      <x:c r="H84" s="37" t="str">
        <x:v>Live/backup path và câu trả lời cốt lõi sẵn sàng</x:v>
      </x:c>
      <x:c r="I84" s="38" t="str">
        <x:v>P1</x:v>
      </x:c>
      <x:c r="J84" s="38" t="str">
        <x:v>TODO</x:v>
      </x:c>
      <x:c r="K84" s="39" t="n">
        <x:f>IF(J84="DONE",1,IF(J84="REVIEW",0.8,IF(J84="DOING",0.5,0)))</x:f>
        <x:v>0</x:v>
      </x:c>
      <x:c r="L84" s="40"/>
      <x:c r="M84" s="40"/>
      <x:c r="N84" s="37" t="str"/>
    </x:row>
    <x:row r="85" ht="46" customHeight="1">
      <x:c r="A85" s="18" t="str">
        <x:v>K13-06</x:v>
      </x:c>
      <x:c r="B85" s="18" t="str">
        <x:v>Phase 13</x:v>
      </x:c>
      <x:c r="C85" s="37" t="str">
        <x:v>Rehearsal và đóng gói bản nộp</x:v>
      </x:c>
      <x:c r="D85" s="37" t="str">
        <x:v>P13-33 đến P13-36</x:v>
      </x:c>
      <x:c r="E85" s="38" t="str">
        <x:v>A+B</x:v>
      </x:c>
      <x:c r="F85" s="38" t="str">
        <x:v>A+B</x:v>
      </x:c>
      <x:c r="G85" s="37" t="str">
        <x:v>K13-05</x:v>
      </x:c>
      <x:c r="H85" s="37" t="str">
        <x:v>Demo đúng thời lượng; submission mở được và sao lưu</x:v>
      </x:c>
      <x:c r="I85" s="38" t="str">
        <x:v>P0</x:v>
      </x:c>
      <x:c r="J85" s="38" t="str">
        <x:v>TODO</x:v>
      </x:c>
      <x:c r="K85" s="39" t="n">
        <x:f>IF(J85="DONE",1,IF(J85="REVIEW",0.8,IF(J85="DOING",0.5,0)))</x:f>
        <x:v>0</x:v>
      </x:c>
      <x:c r="L85" s="40"/>
      <x:c r="M85" s="40"/>
      <x:c r="N85" s="37" t="str"/>
    </x:row>
    <x:row r="88">
      <x:c r="A88" s="52" t="str">
        <x:v>Kết quả rà soát checklist chi tiết</x:v>
      </x:c>
    </x:row>
    <x:row r="89" ht="24" customHeight="1">
      <x:c r="A89" s="33" t="str">
        <x:v>462/462 WBS ID duy nhất; không có ID trùng.</x:v>
      </x:c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</x:row>
    <x:row r="90" ht="24" customHeight="1">
      <x:c r="A90" s="33" t="str">
        <x:v>Không có dependency tham chiếu tới task không tồn tại hoặc task nằm ở tương lai.</x:v>
      </x:c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</x:row>
    <x:row r="91" ht="24" customHeight="1">
      <x:c r="A91" s="33" t="str">
        <x:v>Checklist chi tiết: A 162 task, B 216 task, A+B 84 task. Kế hoạch gọn cân lại ownership theo work package.</x:v>
      </x:c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</x:row>
    <x:row r="92" ht="24" customHeight="1">
      <x:c r="A92" s="33" t="str">
        <x:v>340/462 task chi tiết được gắn P0 nên không phù hợp để xếp lịch trực tiếp. Priority thực thi được chốt lại trong sheet này.</x:v>
      </x:c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</x:row>
    <x:row r="93" ht="24" customHeight="1">
      <x:c r="A93" s="33" t="str">
        <x:v>Open-Meteo implementation là conditional; chỉ thực hiện sau Decision Gate K5-04. P2 không được ưu tiên trước P0.</x:v>
      </x:c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</x:row>
  </x:sheetData>
  <x:mergeCells>
    <x:mergeCell ref="A2:N2"/>
    <x:mergeCell ref="A3:N3"/>
    <x:mergeCell ref="A88:N88"/>
    <x:mergeCell ref="A89:N89"/>
    <x:mergeCell ref="A90:N90"/>
    <x:mergeCell ref="A91:N91"/>
    <x:mergeCell ref="A92:N92"/>
    <x:mergeCell ref="A93:N93"/>
  </x:mergeCells>
  <x:conditionalFormatting sqref="J10:J85">
    <x:cfRule type="containsText" dxfId="25" priority="1" operator="containsText" text="DONE"/>
    <x:cfRule type="containsText" dxfId="26" priority="2" operator="containsText" text="DOING"/>
    <x:cfRule type="containsText" dxfId="27" priority="3" operator="containsText" text="REVIEW"/>
    <x:cfRule type="containsText" dxfId="28" priority="4" operator="containsText" text="BLOCKED"/>
  </x:conditionalFormatting>
  <x:conditionalFormatting sqref="I10:I85">
    <x:cfRule type="containsText" dxfId="29" priority="5" operator="containsText" text="P0"/>
  </x:conditionalFormatting>
  <x:dataValidations count="4">
    <x:dataValidation type="list" sqref="E10:E85">
      <x:formula1>"A,B,A+B"</x:formula1>
    </x:dataValidation>
    <x:dataValidation type="list" sqref="F10:F85">
      <x:formula1>"A,B,A+B"</x:formula1>
    </x:dataValidation>
    <x:dataValidation type="list" sqref="I10:I85">
      <x:formula1>"P0,P1,P2"</x:formula1>
    </x:dataValidation>
    <x:dataValidation type="list" sqref="J10:J85">
      <x:formula1>"TODO,DOING,REVIEW,DONE,BLOCKED"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8985277b2446fa"/>
  </x:tableParts>
</x:worksheet>
</file>